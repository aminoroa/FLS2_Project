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roa/FLS2_Project/input_data/"/>
    </mc:Choice>
  </mc:AlternateContent>
  <xr:revisionPtr revIDLastSave="0" documentId="13_ncr:1_{219EAD4E-D6F4-5F4E-B8CD-48817FFB097F}" xr6:coauthVersionLast="47" xr6:coauthVersionMax="47" xr10:uidLastSave="{00000000-0000-0000-0000-000000000000}"/>
  <bookViews>
    <workbookView xWindow="0" yWindow="660" windowWidth="34560" windowHeight="20560" xr2:uid="{1B074C2A-12A1-9D4F-AC43-5273D806EDF7}"/>
  </bookViews>
  <sheets>
    <sheet name="data_All" sheetId="5" r:id="rId1"/>
  </sheets>
  <definedNames>
    <definedName name="_xlnm._FilterDatabase" localSheetId="0" hidden="1">data_All!$A$1:$AW$247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90" i="5" l="1"/>
  <c r="AO90" i="5"/>
  <c r="AP90" i="5"/>
  <c r="AQ90" i="5"/>
  <c r="AR90" i="5"/>
  <c r="AS90" i="5"/>
  <c r="AT90" i="5"/>
  <c r="AU90" i="5"/>
  <c r="AV90" i="5"/>
  <c r="AW90" i="5"/>
  <c r="AN91" i="5"/>
  <c r="AO91" i="5"/>
  <c r="AP91" i="5"/>
  <c r="AQ91" i="5"/>
  <c r="AR91" i="5"/>
  <c r="AS91" i="5"/>
  <c r="AT91" i="5"/>
  <c r="AU91" i="5"/>
  <c r="AV91" i="5"/>
  <c r="AW91" i="5"/>
  <c r="AN92" i="5"/>
  <c r="AO92" i="5"/>
  <c r="AP92" i="5"/>
  <c r="AT92" i="5" s="1"/>
  <c r="AQ92" i="5"/>
  <c r="AR92" i="5"/>
  <c r="AS92" i="5"/>
  <c r="AU92" i="5"/>
  <c r="AV92" i="5"/>
  <c r="AW92" i="5"/>
  <c r="AN93" i="5"/>
  <c r="AO93" i="5"/>
  <c r="AP93" i="5"/>
  <c r="AT93" i="5" s="1"/>
  <c r="AQ93" i="5"/>
  <c r="AR93" i="5"/>
  <c r="AU93" i="5" s="1"/>
  <c r="AS93" i="5"/>
  <c r="AV93" i="5"/>
  <c r="AW93" i="5"/>
  <c r="AN94" i="5"/>
  <c r="AO94" i="5"/>
  <c r="AP94" i="5"/>
  <c r="AQ94" i="5"/>
  <c r="AR94" i="5"/>
  <c r="AS94" i="5"/>
  <c r="AT94" i="5"/>
  <c r="AU94" i="5"/>
  <c r="AV94" i="5"/>
  <c r="AW94" i="5"/>
  <c r="AN95" i="5"/>
  <c r="AO95" i="5"/>
  <c r="AP95" i="5"/>
  <c r="AQ95" i="5"/>
  <c r="AR95" i="5"/>
  <c r="AS95" i="5"/>
  <c r="AT95" i="5"/>
  <c r="AU95" i="5"/>
  <c r="AV95" i="5"/>
  <c r="AW95" i="5"/>
  <c r="AN96" i="5"/>
  <c r="AO96" i="5"/>
  <c r="AP96" i="5"/>
  <c r="AQ96" i="5"/>
  <c r="AR96" i="5"/>
  <c r="AS96" i="5"/>
  <c r="AT96" i="5"/>
  <c r="AU96" i="5"/>
  <c r="AV96" i="5"/>
  <c r="AW96" i="5"/>
  <c r="AN97" i="5"/>
  <c r="AO97" i="5"/>
  <c r="AP97" i="5"/>
  <c r="AQ97" i="5"/>
  <c r="AR97" i="5"/>
  <c r="AS97" i="5"/>
  <c r="AT97" i="5"/>
  <c r="AU97" i="5"/>
  <c r="AV97" i="5"/>
  <c r="AW97" i="5"/>
  <c r="AN98" i="5"/>
  <c r="AO98" i="5"/>
  <c r="AP98" i="5"/>
  <c r="AT98" i="5" s="1"/>
  <c r="AQ98" i="5"/>
  <c r="AR98" i="5"/>
  <c r="AS98" i="5"/>
  <c r="AU98" i="5"/>
  <c r="AV98" i="5"/>
  <c r="AW98" i="5"/>
  <c r="AN99" i="5"/>
  <c r="AO99" i="5"/>
  <c r="AP99" i="5"/>
  <c r="AT99" i="5" s="1"/>
  <c r="AQ99" i="5"/>
  <c r="AR99" i="5"/>
  <c r="AU99" i="5" s="1"/>
  <c r="AS99" i="5"/>
  <c r="AV99" i="5"/>
  <c r="AW99" i="5"/>
  <c r="AN100" i="5"/>
  <c r="AO100" i="5"/>
  <c r="AP100" i="5"/>
  <c r="AQ100" i="5"/>
  <c r="AR100" i="5"/>
  <c r="AS100" i="5"/>
  <c r="AT100" i="5"/>
  <c r="AU100" i="5"/>
  <c r="AV100" i="5"/>
  <c r="AW100" i="5"/>
  <c r="AN101" i="5"/>
  <c r="AO101" i="5"/>
  <c r="AP101" i="5"/>
  <c r="AQ101" i="5"/>
  <c r="AR101" i="5"/>
  <c r="AS101" i="5"/>
  <c r="AT101" i="5"/>
  <c r="AU101" i="5"/>
  <c r="AV101" i="5"/>
  <c r="AW101" i="5"/>
  <c r="AN102" i="5"/>
  <c r="AO102" i="5"/>
  <c r="AP102" i="5"/>
  <c r="AQ102" i="5"/>
  <c r="AR102" i="5"/>
  <c r="AS102" i="5"/>
  <c r="AT102" i="5"/>
  <c r="AU102" i="5"/>
  <c r="AV102" i="5"/>
  <c r="AW102" i="5"/>
  <c r="AN103" i="5"/>
  <c r="AO103" i="5"/>
  <c r="AP103" i="5"/>
  <c r="AQ103" i="5"/>
  <c r="AR103" i="5"/>
  <c r="AS103" i="5"/>
  <c r="AT103" i="5"/>
  <c r="AU103" i="5"/>
  <c r="AV103" i="5"/>
  <c r="AW103" i="5"/>
  <c r="AN104" i="5"/>
  <c r="AO104" i="5"/>
  <c r="AP104" i="5"/>
  <c r="AT104" i="5" s="1"/>
  <c r="AQ104" i="5"/>
  <c r="AR104" i="5"/>
  <c r="AS104" i="5"/>
  <c r="AU104" i="5"/>
  <c r="AV104" i="5"/>
  <c r="AW104" i="5"/>
  <c r="AN105" i="5"/>
  <c r="AO105" i="5"/>
  <c r="AP105" i="5"/>
  <c r="AT105" i="5" s="1"/>
  <c r="AQ105" i="5"/>
  <c r="AR105" i="5"/>
  <c r="AU105" i="5" s="1"/>
  <c r="AS105" i="5"/>
  <c r="AV105" i="5"/>
  <c r="AW105" i="5"/>
  <c r="AN106" i="5"/>
  <c r="AO106" i="5"/>
  <c r="AP106" i="5"/>
  <c r="AQ106" i="5"/>
  <c r="AR106" i="5"/>
  <c r="AS106" i="5"/>
  <c r="AT106" i="5"/>
  <c r="AU106" i="5"/>
  <c r="AV106" i="5"/>
  <c r="AW106" i="5"/>
  <c r="AN107" i="5"/>
  <c r="AO107" i="5"/>
  <c r="AP107" i="5"/>
  <c r="AQ107" i="5"/>
  <c r="AR107" i="5"/>
  <c r="AS107" i="5"/>
  <c r="AT107" i="5"/>
  <c r="AU107" i="5"/>
  <c r="AV107" i="5"/>
  <c r="AW107" i="5"/>
  <c r="AN108" i="5"/>
  <c r="AO108" i="5"/>
  <c r="AP108" i="5"/>
  <c r="AQ108" i="5"/>
  <c r="AR108" i="5"/>
  <c r="AS108" i="5"/>
  <c r="AT108" i="5"/>
  <c r="AU108" i="5"/>
  <c r="AV108" i="5"/>
  <c r="AW108" i="5"/>
  <c r="AN109" i="5"/>
  <c r="AO109" i="5"/>
  <c r="AP109" i="5"/>
  <c r="AQ109" i="5"/>
  <c r="AR109" i="5"/>
  <c r="AS109" i="5"/>
  <c r="AT109" i="5"/>
  <c r="AU109" i="5"/>
  <c r="AV109" i="5"/>
  <c r="AW109" i="5"/>
  <c r="AN110" i="5"/>
  <c r="AO110" i="5"/>
  <c r="AP110" i="5"/>
  <c r="AT110" i="5" s="1"/>
  <c r="AQ110" i="5"/>
  <c r="AR110" i="5"/>
  <c r="AS110" i="5"/>
  <c r="AU110" i="5"/>
  <c r="AV110" i="5"/>
  <c r="AW110" i="5"/>
  <c r="AN111" i="5"/>
  <c r="AO111" i="5"/>
  <c r="AP111" i="5"/>
  <c r="AT111" i="5" s="1"/>
  <c r="AQ111" i="5"/>
  <c r="AR111" i="5"/>
  <c r="AU111" i="5" s="1"/>
  <c r="AS111" i="5"/>
  <c r="AV111" i="5"/>
  <c r="AW111" i="5"/>
  <c r="AN112" i="5"/>
  <c r="AO112" i="5"/>
  <c r="AP112" i="5"/>
  <c r="AQ112" i="5"/>
  <c r="AR112" i="5"/>
  <c r="AS112" i="5"/>
  <c r="AT112" i="5"/>
  <c r="AU112" i="5"/>
  <c r="AV112" i="5"/>
  <c r="AW112" i="5"/>
  <c r="AN113" i="5"/>
  <c r="AO113" i="5"/>
  <c r="AP113" i="5"/>
  <c r="AQ113" i="5"/>
  <c r="AR113" i="5"/>
  <c r="AS113" i="5"/>
  <c r="AT113" i="5"/>
  <c r="AU113" i="5"/>
  <c r="AV113" i="5"/>
  <c r="AW113" i="5"/>
  <c r="AN114" i="5"/>
  <c r="AO114" i="5"/>
  <c r="AP114" i="5"/>
  <c r="AQ114" i="5"/>
  <c r="AR114" i="5"/>
  <c r="AS114" i="5"/>
  <c r="AT114" i="5"/>
  <c r="AU114" i="5"/>
  <c r="AV114" i="5"/>
  <c r="AW114" i="5"/>
  <c r="AN115" i="5"/>
  <c r="AO115" i="5"/>
  <c r="AP115" i="5"/>
  <c r="AQ115" i="5"/>
  <c r="AR115" i="5"/>
  <c r="AS115" i="5"/>
  <c r="AT115" i="5"/>
  <c r="AU115" i="5"/>
  <c r="AV115" i="5"/>
  <c r="AW115" i="5"/>
  <c r="AN116" i="5"/>
  <c r="AO116" i="5"/>
  <c r="AP116" i="5"/>
  <c r="AT116" i="5" s="1"/>
  <c r="AQ116" i="5"/>
  <c r="AR116" i="5"/>
  <c r="AS116" i="5"/>
  <c r="AU116" i="5"/>
  <c r="AV116" i="5"/>
  <c r="AW116" i="5"/>
  <c r="AN117" i="5"/>
  <c r="AO117" i="5"/>
  <c r="AP117" i="5"/>
  <c r="AT117" i="5" s="1"/>
  <c r="AQ117" i="5"/>
  <c r="AR117" i="5"/>
  <c r="AU117" i="5" s="1"/>
  <c r="AS117" i="5"/>
  <c r="AV117" i="5"/>
  <c r="AW117" i="5"/>
  <c r="AN118" i="5"/>
  <c r="AO118" i="5"/>
  <c r="AP118" i="5"/>
  <c r="AQ118" i="5"/>
  <c r="AR118" i="5"/>
  <c r="AS118" i="5"/>
  <c r="AT118" i="5"/>
  <c r="AU118" i="5"/>
  <c r="AV118" i="5"/>
  <c r="AW118" i="5"/>
  <c r="AN119" i="5"/>
  <c r="AO119" i="5"/>
  <c r="AP119" i="5"/>
  <c r="AQ119" i="5"/>
  <c r="AR119" i="5"/>
  <c r="AS119" i="5"/>
  <c r="AT119" i="5"/>
  <c r="AU119" i="5"/>
  <c r="AV119" i="5"/>
  <c r="AW119" i="5"/>
  <c r="AN120" i="5"/>
  <c r="AO120" i="5"/>
  <c r="AP120" i="5"/>
  <c r="AQ120" i="5"/>
  <c r="AR120" i="5"/>
  <c r="AS120" i="5"/>
  <c r="AT120" i="5"/>
  <c r="AU120" i="5"/>
  <c r="AV120" i="5"/>
  <c r="AW120" i="5"/>
  <c r="AW2" i="5"/>
  <c r="AW14" i="5"/>
  <c r="AW20" i="5"/>
  <c r="AW41" i="5"/>
  <c r="AW43" i="5"/>
  <c r="AW45" i="5"/>
  <c r="AW46" i="5"/>
  <c r="AW47" i="5"/>
  <c r="AW49" i="5"/>
  <c r="AW54" i="5"/>
  <c r="AW56" i="5"/>
  <c r="AW58" i="5"/>
  <c r="AW62" i="5"/>
  <c r="AW66" i="5"/>
  <c r="AW71" i="5"/>
  <c r="AW72" i="5"/>
  <c r="AW76" i="5"/>
  <c r="AW77" i="5"/>
  <c r="AW80" i="5"/>
  <c r="AW3" i="5"/>
  <c r="AW4" i="5"/>
  <c r="AW5" i="5"/>
  <c r="AW7" i="5"/>
  <c r="AW8" i="5"/>
  <c r="AW9" i="5"/>
  <c r="AW10" i="5"/>
  <c r="AW11" i="5"/>
  <c r="AW12" i="5"/>
  <c r="AW13" i="5"/>
  <c r="AW15" i="5"/>
  <c r="AW16" i="5"/>
  <c r="AW18" i="5"/>
  <c r="AW19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37" i="5"/>
  <c r="AW38" i="5"/>
  <c r="AW44" i="5"/>
  <c r="AW50" i="5"/>
  <c r="AW53" i="5"/>
  <c r="AW59" i="5"/>
  <c r="AW61" i="5"/>
  <c r="AW64" i="5"/>
  <c r="AW67" i="5"/>
  <c r="AW68" i="5"/>
  <c r="AW69" i="5"/>
  <c r="AW74" i="5"/>
  <c r="AW78" i="5"/>
  <c r="AW79" i="5"/>
  <c r="AW81" i="5"/>
  <c r="AW82" i="5"/>
  <c r="AW83" i="5"/>
  <c r="AW84" i="5"/>
  <c r="AW85" i="5"/>
  <c r="AW86" i="5"/>
  <c r="AW87" i="5"/>
  <c r="AW88" i="5"/>
  <c r="AW89" i="5"/>
  <c r="AW6" i="5"/>
  <c r="AW17" i="5"/>
  <c r="AW21" i="5"/>
  <c r="AW22" i="5"/>
  <c r="AW39" i="5"/>
  <c r="AW40" i="5"/>
  <c r="AW42" i="5"/>
  <c r="AW48" i="5"/>
  <c r="AW51" i="5"/>
  <c r="AW52" i="5"/>
  <c r="AW55" i="5"/>
  <c r="AW57" i="5"/>
  <c r="AW60" i="5"/>
  <c r="AW63" i="5"/>
  <c r="AW65" i="5"/>
  <c r="AW70" i="5"/>
  <c r="AW73" i="5"/>
  <c r="AW75" i="5"/>
  <c r="AW121" i="5"/>
  <c r="AW122" i="5"/>
  <c r="AW123" i="5"/>
  <c r="AW124" i="5"/>
  <c r="AW125" i="5"/>
  <c r="AV2" i="5"/>
  <c r="AV14" i="5"/>
  <c r="AV20" i="5"/>
  <c r="AV41" i="5"/>
  <c r="AV43" i="5"/>
  <c r="AV45" i="5"/>
  <c r="AV46" i="5"/>
  <c r="AV47" i="5"/>
  <c r="AV49" i="5"/>
  <c r="AV54" i="5"/>
  <c r="AV56" i="5"/>
  <c r="AV58" i="5"/>
  <c r="AV62" i="5"/>
  <c r="AV66" i="5"/>
  <c r="AV71" i="5"/>
  <c r="AV72" i="5"/>
  <c r="AV76" i="5"/>
  <c r="AV77" i="5"/>
  <c r="AV80" i="5"/>
  <c r="AV3" i="5"/>
  <c r="AV4" i="5"/>
  <c r="AV5" i="5"/>
  <c r="AV7" i="5"/>
  <c r="AV8" i="5"/>
  <c r="AV9" i="5"/>
  <c r="AV10" i="5"/>
  <c r="AV11" i="5"/>
  <c r="AV12" i="5"/>
  <c r="AV13" i="5"/>
  <c r="AV15" i="5"/>
  <c r="AV16" i="5"/>
  <c r="AV18" i="5"/>
  <c r="AV19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44" i="5"/>
  <c r="AV50" i="5"/>
  <c r="AV53" i="5"/>
  <c r="AV59" i="5"/>
  <c r="AV61" i="5"/>
  <c r="AV64" i="5"/>
  <c r="AV67" i="5"/>
  <c r="AV68" i="5"/>
  <c r="AV69" i="5"/>
  <c r="AV74" i="5"/>
  <c r="AV78" i="5"/>
  <c r="AV79" i="5"/>
  <c r="AV81" i="5"/>
  <c r="AV82" i="5"/>
  <c r="AV83" i="5"/>
  <c r="AV84" i="5"/>
  <c r="AV85" i="5"/>
  <c r="AV86" i="5"/>
  <c r="AV87" i="5"/>
  <c r="AV88" i="5"/>
  <c r="AV89" i="5"/>
  <c r="AV6" i="5"/>
  <c r="AV17" i="5"/>
  <c r="AV21" i="5"/>
  <c r="AV22" i="5"/>
  <c r="AV39" i="5"/>
  <c r="AV40" i="5"/>
  <c r="AV42" i="5"/>
  <c r="AV48" i="5"/>
  <c r="AV51" i="5"/>
  <c r="AV52" i="5"/>
  <c r="AV55" i="5"/>
  <c r="AV57" i="5"/>
  <c r="AV60" i="5"/>
  <c r="AV63" i="5"/>
  <c r="AV65" i="5"/>
  <c r="AV70" i="5"/>
  <c r="AV73" i="5"/>
  <c r="AV75" i="5"/>
  <c r="AV121" i="5"/>
  <c r="AV122" i="5"/>
  <c r="AV123" i="5"/>
  <c r="AV124" i="5"/>
  <c r="AV125" i="5"/>
  <c r="AS2" i="5" l="1"/>
  <c r="AS14" i="5"/>
  <c r="AS20" i="5"/>
  <c r="AS41" i="5"/>
  <c r="AS43" i="5"/>
  <c r="AS45" i="5"/>
  <c r="AS46" i="5"/>
  <c r="AS47" i="5"/>
  <c r="AS49" i="5"/>
  <c r="AS54" i="5"/>
  <c r="AS56" i="5"/>
  <c r="AS58" i="5"/>
  <c r="AS62" i="5"/>
  <c r="AS66" i="5"/>
  <c r="AS71" i="5"/>
  <c r="AS72" i="5"/>
  <c r="AS76" i="5"/>
  <c r="AS77" i="5"/>
  <c r="AS80" i="5"/>
  <c r="AS3" i="5"/>
  <c r="AS4" i="5"/>
  <c r="AS5" i="5"/>
  <c r="AS7" i="5"/>
  <c r="AS8" i="5"/>
  <c r="AS9" i="5"/>
  <c r="AS10" i="5"/>
  <c r="AS11" i="5"/>
  <c r="AS12" i="5"/>
  <c r="AS13" i="5"/>
  <c r="AS15" i="5"/>
  <c r="AS16" i="5"/>
  <c r="AS18" i="5"/>
  <c r="AS19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44" i="5"/>
  <c r="AS50" i="5"/>
  <c r="AS53" i="5"/>
  <c r="AS59" i="5"/>
  <c r="AS61" i="5"/>
  <c r="AS64" i="5"/>
  <c r="AS67" i="5"/>
  <c r="AS68" i="5"/>
  <c r="AS69" i="5"/>
  <c r="AS74" i="5"/>
  <c r="AS78" i="5"/>
  <c r="AS79" i="5"/>
  <c r="AS81" i="5"/>
  <c r="AS82" i="5"/>
  <c r="AS83" i="5"/>
  <c r="AS84" i="5"/>
  <c r="AS85" i="5"/>
  <c r="AS86" i="5"/>
  <c r="AS87" i="5"/>
  <c r="AS88" i="5"/>
  <c r="AS89" i="5"/>
  <c r="AS6" i="5"/>
  <c r="AS17" i="5"/>
  <c r="AS21" i="5"/>
  <c r="AS22" i="5"/>
  <c r="AS39" i="5"/>
  <c r="AS40" i="5"/>
  <c r="AS42" i="5"/>
  <c r="AS48" i="5"/>
  <c r="AS51" i="5"/>
  <c r="AS52" i="5"/>
  <c r="AS55" i="5"/>
  <c r="AS57" i="5"/>
  <c r="AS60" i="5"/>
  <c r="AS63" i="5"/>
  <c r="AS65" i="5"/>
  <c r="AS70" i="5"/>
  <c r="AS73" i="5"/>
  <c r="AS75" i="5"/>
  <c r="AS121" i="5"/>
  <c r="AS122" i="5"/>
  <c r="AS123" i="5"/>
  <c r="AS124" i="5"/>
  <c r="AS125" i="5"/>
  <c r="AR2" i="5"/>
  <c r="AR14" i="5"/>
  <c r="AR20" i="5"/>
  <c r="AR41" i="5"/>
  <c r="AR43" i="5"/>
  <c r="AR45" i="5"/>
  <c r="AR46" i="5"/>
  <c r="AR47" i="5"/>
  <c r="AR49" i="5"/>
  <c r="AR54" i="5"/>
  <c r="AR56" i="5"/>
  <c r="AR58" i="5"/>
  <c r="AR62" i="5"/>
  <c r="AR66" i="5"/>
  <c r="AR71" i="5"/>
  <c r="AR72" i="5"/>
  <c r="AR76" i="5"/>
  <c r="AR77" i="5"/>
  <c r="AR80" i="5"/>
  <c r="AR3" i="5"/>
  <c r="AR4" i="5"/>
  <c r="AR5" i="5"/>
  <c r="AR7" i="5"/>
  <c r="AR8" i="5"/>
  <c r="AR9" i="5"/>
  <c r="AR10" i="5"/>
  <c r="AR11" i="5"/>
  <c r="AR12" i="5"/>
  <c r="AR13" i="5"/>
  <c r="AR15" i="5"/>
  <c r="AR16" i="5"/>
  <c r="AR18" i="5"/>
  <c r="AR19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R44" i="5"/>
  <c r="AR50" i="5"/>
  <c r="AR53" i="5"/>
  <c r="AR59" i="5"/>
  <c r="AR61" i="5"/>
  <c r="AR64" i="5"/>
  <c r="AR67" i="5"/>
  <c r="AR68" i="5"/>
  <c r="AR69" i="5"/>
  <c r="AR74" i="5"/>
  <c r="AR78" i="5"/>
  <c r="AR79" i="5"/>
  <c r="AR81" i="5"/>
  <c r="AR82" i="5"/>
  <c r="AR83" i="5"/>
  <c r="AR84" i="5"/>
  <c r="AR85" i="5"/>
  <c r="AR86" i="5"/>
  <c r="AR87" i="5"/>
  <c r="AR88" i="5"/>
  <c r="AR89" i="5"/>
  <c r="AR6" i="5"/>
  <c r="AU6" i="5" s="1"/>
  <c r="AR17" i="5"/>
  <c r="AU17" i="5" s="1"/>
  <c r="AR21" i="5"/>
  <c r="AU21" i="5" s="1"/>
  <c r="AR22" i="5"/>
  <c r="AU22" i="5" s="1"/>
  <c r="AR39" i="5"/>
  <c r="AR40" i="5"/>
  <c r="AR42" i="5"/>
  <c r="AR48" i="5"/>
  <c r="AR51" i="5"/>
  <c r="AR52" i="5"/>
  <c r="AR55" i="5"/>
  <c r="AR57" i="5"/>
  <c r="AR60" i="5"/>
  <c r="AU60" i="5" s="1"/>
  <c r="AR63" i="5"/>
  <c r="AU63" i="5" s="1"/>
  <c r="AR65" i="5"/>
  <c r="AU65" i="5" s="1"/>
  <c r="AR70" i="5"/>
  <c r="AU70" i="5" s="1"/>
  <c r="AR73" i="5"/>
  <c r="AR75" i="5"/>
  <c r="AR121" i="5"/>
  <c r="AR122" i="5"/>
  <c r="AR123" i="5"/>
  <c r="AR124" i="5"/>
  <c r="AR125" i="5"/>
  <c r="AQ2" i="5"/>
  <c r="AQ14" i="5"/>
  <c r="AQ20" i="5"/>
  <c r="AQ41" i="5"/>
  <c r="AQ43" i="5"/>
  <c r="AQ45" i="5"/>
  <c r="AQ46" i="5"/>
  <c r="AQ47" i="5"/>
  <c r="AQ49" i="5"/>
  <c r="AQ54" i="5"/>
  <c r="AQ56" i="5"/>
  <c r="AQ58" i="5"/>
  <c r="AQ62" i="5"/>
  <c r="AQ66" i="5"/>
  <c r="AQ71" i="5"/>
  <c r="AQ72" i="5"/>
  <c r="AQ76" i="5"/>
  <c r="AQ77" i="5"/>
  <c r="AQ80" i="5"/>
  <c r="AQ3" i="5"/>
  <c r="AQ4" i="5"/>
  <c r="AQ5" i="5"/>
  <c r="AQ7" i="5"/>
  <c r="AQ8" i="5"/>
  <c r="AQ9" i="5"/>
  <c r="AQ10" i="5"/>
  <c r="AQ11" i="5"/>
  <c r="AQ12" i="5"/>
  <c r="AQ13" i="5"/>
  <c r="AQ15" i="5"/>
  <c r="AQ16" i="5"/>
  <c r="AQ18" i="5"/>
  <c r="AQ19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44" i="5"/>
  <c r="AQ50" i="5"/>
  <c r="AQ53" i="5"/>
  <c r="AQ59" i="5"/>
  <c r="AQ61" i="5"/>
  <c r="AQ64" i="5"/>
  <c r="AQ67" i="5"/>
  <c r="AQ68" i="5"/>
  <c r="AQ69" i="5"/>
  <c r="AQ74" i="5"/>
  <c r="AQ78" i="5"/>
  <c r="AQ79" i="5"/>
  <c r="AQ81" i="5"/>
  <c r="AQ82" i="5"/>
  <c r="AQ83" i="5"/>
  <c r="AQ84" i="5"/>
  <c r="AQ85" i="5"/>
  <c r="AQ86" i="5"/>
  <c r="AQ87" i="5"/>
  <c r="AQ88" i="5"/>
  <c r="AQ89" i="5"/>
  <c r="AQ6" i="5"/>
  <c r="AQ17" i="5"/>
  <c r="AQ21" i="5"/>
  <c r="AQ22" i="5"/>
  <c r="AQ39" i="5"/>
  <c r="AQ40" i="5"/>
  <c r="AQ42" i="5"/>
  <c r="AQ48" i="5"/>
  <c r="AQ51" i="5"/>
  <c r="AQ52" i="5"/>
  <c r="AQ55" i="5"/>
  <c r="AQ57" i="5"/>
  <c r="AQ60" i="5"/>
  <c r="AQ63" i="5"/>
  <c r="AQ65" i="5"/>
  <c r="AQ70" i="5"/>
  <c r="AQ73" i="5"/>
  <c r="AQ75" i="5"/>
  <c r="AQ121" i="5"/>
  <c r="AQ122" i="5"/>
  <c r="AQ123" i="5"/>
  <c r="AQ124" i="5"/>
  <c r="AQ125" i="5"/>
  <c r="AP2" i="5"/>
  <c r="AP14" i="5"/>
  <c r="AP20" i="5"/>
  <c r="AP41" i="5"/>
  <c r="AP43" i="5"/>
  <c r="AP45" i="5"/>
  <c r="AP46" i="5"/>
  <c r="AP47" i="5"/>
  <c r="AP49" i="5"/>
  <c r="AP54" i="5"/>
  <c r="AP56" i="5"/>
  <c r="AP58" i="5"/>
  <c r="AP62" i="5"/>
  <c r="AP66" i="5"/>
  <c r="AP71" i="5"/>
  <c r="AP72" i="5"/>
  <c r="AP76" i="5"/>
  <c r="AP77" i="5"/>
  <c r="AP80" i="5"/>
  <c r="AP3" i="5"/>
  <c r="AP4" i="5"/>
  <c r="AP5" i="5"/>
  <c r="AP7" i="5"/>
  <c r="AP8" i="5"/>
  <c r="AP9" i="5"/>
  <c r="AP10" i="5"/>
  <c r="AP11" i="5"/>
  <c r="AP12" i="5"/>
  <c r="AP13" i="5"/>
  <c r="AP15" i="5"/>
  <c r="AP16" i="5"/>
  <c r="AP18" i="5"/>
  <c r="AP19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44" i="5"/>
  <c r="AP50" i="5"/>
  <c r="AP53" i="5"/>
  <c r="AP59" i="5"/>
  <c r="AP61" i="5"/>
  <c r="AP64" i="5"/>
  <c r="AP67" i="5"/>
  <c r="AP68" i="5"/>
  <c r="AP69" i="5"/>
  <c r="AP74" i="5"/>
  <c r="AP78" i="5"/>
  <c r="AP79" i="5"/>
  <c r="AP81" i="5"/>
  <c r="AP82" i="5"/>
  <c r="AP83" i="5"/>
  <c r="AP84" i="5"/>
  <c r="AP85" i="5"/>
  <c r="AP86" i="5"/>
  <c r="AP87" i="5"/>
  <c r="AP88" i="5"/>
  <c r="AP89" i="5"/>
  <c r="AP6" i="5"/>
  <c r="AP17" i="5"/>
  <c r="AP21" i="5"/>
  <c r="AP22" i="5"/>
  <c r="AP39" i="5"/>
  <c r="AP40" i="5"/>
  <c r="AP42" i="5"/>
  <c r="AP48" i="5"/>
  <c r="AP51" i="5"/>
  <c r="AT51" i="5" s="1"/>
  <c r="AP52" i="5"/>
  <c r="AT52" i="5" s="1"/>
  <c r="AP55" i="5"/>
  <c r="AT55" i="5" s="1"/>
  <c r="AP57" i="5"/>
  <c r="AT57" i="5" s="1"/>
  <c r="AP60" i="5"/>
  <c r="AP63" i="5"/>
  <c r="AP65" i="5"/>
  <c r="AP70" i="5"/>
  <c r="AP73" i="5"/>
  <c r="AP75" i="5"/>
  <c r="AP121" i="5"/>
  <c r="AP122" i="5"/>
  <c r="AP123" i="5"/>
  <c r="AP124" i="5"/>
  <c r="AP125" i="5"/>
  <c r="AO121" i="5"/>
  <c r="AO122" i="5"/>
  <c r="AO123" i="5"/>
  <c r="AO124" i="5"/>
  <c r="AO125" i="5"/>
  <c r="AO2" i="5"/>
  <c r="AO14" i="5"/>
  <c r="AO20" i="5"/>
  <c r="AO41" i="5"/>
  <c r="AO43" i="5"/>
  <c r="AO45" i="5"/>
  <c r="AO46" i="5"/>
  <c r="AO47" i="5"/>
  <c r="AO49" i="5"/>
  <c r="AO54" i="5"/>
  <c r="AO56" i="5"/>
  <c r="AO58" i="5"/>
  <c r="AO62" i="5"/>
  <c r="AO66" i="5"/>
  <c r="AO71" i="5"/>
  <c r="AO72" i="5"/>
  <c r="AO76" i="5"/>
  <c r="AO77" i="5"/>
  <c r="AO80" i="5"/>
  <c r="AO3" i="5"/>
  <c r="AO4" i="5"/>
  <c r="AO5" i="5"/>
  <c r="AO7" i="5"/>
  <c r="AO8" i="5"/>
  <c r="AO9" i="5"/>
  <c r="AO10" i="5"/>
  <c r="AO11" i="5"/>
  <c r="AO12" i="5"/>
  <c r="AO13" i="5"/>
  <c r="AO15" i="5"/>
  <c r="AO16" i="5"/>
  <c r="AO18" i="5"/>
  <c r="AO19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44" i="5"/>
  <c r="AO50" i="5"/>
  <c r="AO53" i="5"/>
  <c r="AO59" i="5"/>
  <c r="AO61" i="5"/>
  <c r="AO64" i="5"/>
  <c r="AO67" i="5"/>
  <c r="AO68" i="5"/>
  <c r="AO69" i="5"/>
  <c r="AO74" i="5"/>
  <c r="AO78" i="5"/>
  <c r="AO79" i="5"/>
  <c r="AO81" i="5"/>
  <c r="AO82" i="5"/>
  <c r="AO83" i="5"/>
  <c r="AO84" i="5"/>
  <c r="AO85" i="5"/>
  <c r="AO86" i="5"/>
  <c r="AO87" i="5"/>
  <c r="AO88" i="5"/>
  <c r="AO89" i="5"/>
  <c r="AO6" i="5"/>
  <c r="AO17" i="5"/>
  <c r="AO21" i="5"/>
  <c r="AO22" i="5"/>
  <c r="AO39" i="5"/>
  <c r="AO40" i="5"/>
  <c r="AO42" i="5"/>
  <c r="AO48" i="5"/>
  <c r="AO51" i="5"/>
  <c r="AO52" i="5"/>
  <c r="AO55" i="5"/>
  <c r="AO57" i="5"/>
  <c r="AO60" i="5"/>
  <c r="AO63" i="5"/>
  <c r="AO65" i="5"/>
  <c r="AO70" i="5"/>
  <c r="AO73" i="5"/>
  <c r="AO75" i="5"/>
  <c r="AN2" i="5"/>
  <c r="AN14" i="5"/>
  <c r="AN20" i="5"/>
  <c r="AN41" i="5"/>
  <c r="AN43" i="5"/>
  <c r="AN45" i="5"/>
  <c r="AN46" i="5"/>
  <c r="AN47" i="5"/>
  <c r="AN49" i="5"/>
  <c r="AN54" i="5"/>
  <c r="AN56" i="5"/>
  <c r="AN58" i="5"/>
  <c r="AN62" i="5"/>
  <c r="AN66" i="5"/>
  <c r="AN71" i="5"/>
  <c r="AN72" i="5"/>
  <c r="AN76" i="5"/>
  <c r="AN77" i="5"/>
  <c r="AN80" i="5"/>
  <c r="AN3" i="5"/>
  <c r="AN4" i="5"/>
  <c r="AN5" i="5"/>
  <c r="AN7" i="5"/>
  <c r="AN8" i="5"/>
  <c r="AN9" i="5"/>
  <c r="AN10" i="5"/>
  <c r="AN11" i="5"/>
  <c r="AN12" i="5"/>
  <c r="AN13" i="5"/>
  <c r="AN15" i="5"/>
  <c r="AN16" i="5"/>
  <c r="AN18" i="5"/>
  <c r="AN19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44" i="5"/>
  <c r="AN50" i="5"/>
  <c r="AN53" i="5"/>
  <c r="AN59" i="5"/>
  <c r="AN61" i="5"/>
  <c r="AN64" i="5"/>
  <c r="AN67" i="5"/>
  <c r="AN68" i="5"/>
  <c r="AN69" i="5"/>
  <c r="AN74" i="5"/>
  <c r="AN78" i="5"/>
  <c r="AN79" i="5"/>
  <c r="AN81" i="5"/>
  <c r="AN82" i="5"/>
  <c r="AN83" i="5"/>
  <c r="AN84" i="5"/>
  <c r="AN85" i="5"/>
  <c r="AN86" i="5"/>
  <c r="AN87" i="5"/>
  <c r="AN88" i="5"/>
  <c r="AN89" i="5"/>
  <c r="AN6" i="5"/>
  <c r="AN17" i="5"/>
  <c r="AN21" i="5"/>
  <c r="AN22" i="5"/>
  <c r="AN39" i="5"/>
  <c r="AN40" i="5"/>
  <c r="AN42" i="5"/>
  <c r="AN48" i="5"/>
  <c r="AN51" i="5"/>
  <c r="AN52" i="5"/>
  <c r="AN55" i="5"/>
  <c r="AN57" i="5"/>
  <c r="AN60" i="5"/>
  <c r="AN63" i="5"/>
  <c r="AN65" i="5"/>
  <c r="AN70" i="5"/>
  <c r="AN73" i="5"/>
  <c r="AN75" i="5"/>
  <c r="AN121" i="5"/>
  <c r="AN122" i="5"/>
  <c r="AN123" i="5"/>
  <c r="AN124" i="5"/>
  <c r="AN125" i="5"/>
  <c r="AU57" i="5" l="1"/>
  <c r="AU52" i="5"/>
  <c r="AT73" i="5"/>
  <c r="AT39" i="5"/>
  <c r="AU51" i="5"/>
  <c r="AT48" i="5"/>
  <c r="AU55" i="5"/>
  <c r="AT40" i="5"/>
  <c r="AT70" i="5"/>
  <c r="AT22" i="5"/>
  <c r="AU48" i="5"/>
  <c r="AT75" i="5"/>
  <c r="AT65" i="5"/>
  <c r="AT21" i="5"/>
  <c r="AU42" i="5"/>
  <c r="AT42" i="5"/>
  <c r="AT63" i="5"/>
  <c r="AT17" i="5"/>
  <c r="AU75" i="5"/>
  <c r="AU40" i="5"/>
  <c r="AT60" i="5"/>
  <c r="AT6" i="5"/>
  <c r="AU73" i="5"/>
  <c r="AU39" i="5"/>
  <c r="AT69" i="5"/>
  <c r="AT23" i="5"/>
  <c r="AT71" i="5"/>
  <c r="AT20" i="5"/>
  <c r="AT7" i="5"/>
  <c r="AT81" i="5"/>
  <c r="AT44" i="5"/>
  <c r="AU85" i="5"/>
  <c r="AU61" i="5"/>
  <c r="AU31" i="5"/>
  <c r="AU15" i="5"/>
  <c r="AU56" i="5"/>
  <c r="AT10" i="5"/>
  <c r="AU84" i="5"/>
  <c r="AU59" i="5"/>
  <c r="AU30" i="5"/>
  <c r="AU13" i="5"/>
  <c r="AU54" i="5"/>
  <c r="AT80" i="5"/>
  <c r="AT27" i="5"/>
  <c r="AT28" i="5"/>
  <c r="AT36" i="5"/>
  <c r="AT89" i="5"/>
  <c r="AT125" i="5"/>
  <c r="AT50" i="5"/>
  <c r="AT47" i="5"/>
  <c r="AT46" i="5"/>
  <c r="AT5" i="5"/>
  <c r="AT82" i="5"/>
  <c r="AT11" i="5"/>
  <c r="AT124" i="5"/>
  <c r="AT19" i="5"/>
  <c r="AT66" i="5"/>
  <c r="AU9" i="5"/>
  <c r="AU45" i="5"/>
  <c r="AT35" i="5"/>
  <c r="AT88" i="5"/>
  <c r="AU26" i="5"/>
  <c r="AT33" i="5"/>
  <c r="AU78" i="5"/>
  <c r="AT86" i="5"/>
  <c r="AT64" i="5"/>
  <c r="AT32" i="5"/>
  <c r="AT16" i="5"/>
  <c r="AT3" i="5"/>
  <c r="AT58" i="5"/>
  <c r="AU74" i="5"/>
  <c r="AU36" i="5"/>
  <c r="AU24" i="5"/>
  <c r="AU8" i="5"/>
  <c r="AU72" i="5"/>
  <c r="AU41" i="5"/>
  <c r="AU77" i="5"/>
  <c r="AT67" i="5"/>
  <c r="AT62" i="5"/>
  <c r="AU25" i="5"/>
  <c r="AU43" i="5"/>
  <c r="AT85" i="5"/>
  <c r="AT61" i="5"/>
  <c r="AT31" i="5"/>
  <c r="AT15" i="5"/>
  <c r="AT56" i="5"/>
  <c r="AU89" i="5"/>
  <c r="AU69" i="5"/>
  <c r="AU35" i="5"/>
  <c r="AU23" i="5"/>
  <c r="AU7" i="5"/>
  <c r="AU71" i="5"/>
  <c r="AU20" i="5"/>
  <c r="AT68" i="5"/>
  <c r="AU38" i="5"/>
  <c r="AT87" i="5"/>
  <c r="AT18" i="5"/>
  <c r="AU37" i="5"/>
  <c r="AU76" i="5"/>
  <c r="AT4" i="5"/>
  <c r="AT83" i="5"/>
  <c r="AT53" i="5"/>
  <c r="AT29" i="5"/>
  <c r="AT12" i="5"/>
  <c r="AT49" i="5"/>
  <c r="AU87" i="5"/>
  <c r="AU67" i="5"/>
  <c r="AU33" i="5"/>
  <c r="AU18" i="5"/>
  <c r="AU4" i="5"/>
  <c r="AU62" i="5"/>
  <c r="AT34" i="5"/>
  <c r="AT14" i="5"/>
  <c r="AU79" i="5"/>
  <c r="AT2" i="5"/>
  <c r="AT74" i="5"/>
  <c r="AT24" i="5"/>
  <c r="AT8" i="5"/>
  <c r="AT72" i="5"/>
  <c r="AT41" i="5"/>
  <c r="AU86" i="5"/>
  <c r="AU64" i="5"/>
  <c r="AU32" i="5"/>
  <c r="AU16" i="5"/>
  <c r="AU3" i="5"/>
  <c r="AU58" i="5"/>
  <c r="AT84" i="5"/>
  <c r="AT59" i="5"/>
  <c r="AT30" i="5"/>
  <c r="AT13" i="5"/>
  <c r="AT54" i="5"/>
  <c r="AU88" i="5"/>
  <c r="AU68" i="5"/>
  <c r="AU34" i="5"/>
  <c r="AU19" i="5"/>
  <c r="AU5" i="5"/>
  <c r="AU66" i="5"/>
  <c r="AU14" i="5"/>
  <c r="AU2" i="5"/>
  <c r="AT79" i="5"/>
  <c r="AT38" i="5"/>
  <c r="AT9" i="5"/>
  <c r="AT45" i="5"/>
  <c r="AT37" i="5"/>
  <c r="AT43" i="5"/>
  <c r="AU53" i="5"/>
  <c r="AU29" i="5"/>
  <c r="AU49" i="5"/>
  <c r="AT121" i="5"/>
  <c r="AU82" i="5"/>
  <c r="AU50" i="5"/>
  <c r="AU28" i="5"/>
  <c r="AU11" i="5"/>
  <c r="AU47" i="5"/>
  <c r="AT26" i="5"/>
  <c r="AT77" i="5"/>
  <c r="AT78" i="5"/>
  <c r="AT25" i="5"/>
  <c r="AT76" i="5"/>
  <c r="AU83" i="5"/>
  <c r="AU12" i="5"/>
  <c r="AU81" i="5"/>
  <c r="AU44" i="5"/>
  <c r="AU27" i="5"/>
  <c r="AU10" i="5"/>
  <c r="AU80" i="5"/>
  <c r="AU46" i="5"/>
  <c r="AU125" i="5"/>
  <c r="AU123" i="5"/>
  <c r="AU122" i="5"/>
  <c r="AT123" i="5"/>
  <c r="AU124" i="5"/>
  <c r="AU121" i="5"/>
  <c r="AT122" i="5"/>
</calcChain>
</file>

<file path=xl/sharedStrings.xml><?xml version="1.0" encoding="utf-8"?>
<sst xmlns="http://schemas.openxmlformats.org/spreadsheetml/2006/main" count="1982" uniqueCount="267">
  <si>
    <t>Ligand Name</t>
  </si>
  <si>
    <t>Source</t>
  </si>
  <si>
    <t>Paeflg22</t>
  </si>
  <si>
    <t>Atuflg22</t>
  </si>
  <si>
    <t>Rrhflg22</t>
  </si>
  <si>
    <t>Rso_1flg22</t>
  </si>
  <si>
    <t>Rso_2flg22</t>
  </si>
  <si>
    <t>Ddiflg22</t>
  </si>
  <si>
    <t>Eamflg22</t>
  </si>
  <si>
    <t>Pviflg22</t>
  </si>
  <si>
    <t>Xfrflg22</t>
  </si>
  <si>
    <t>Xorflg22</t>
  </si>
  <si>
    <t>Wu_Atuflg22</t>
  </si>
  <si>
    <t>Colaianni_1</t>
  </si>
  <si>
    <t>Colaianni_2</t>
  </si>
  <si>
    <t>Colaianni_3</t>
  </si>
  <si>
    <t>Colaianni_4</t>
  </si>
  <si>
    <t>Colaianni_5</t>
  </si>
  <si>
    <t>Colaianni_6</t>
  </si>
  <si>
    <t>Colaianni_7</t>
  </si>
  <si>
    <t>Colaianni_8</t>
  </si>
  <si>
    <t>Colaianni_9</t>
  </si>
  <si>
    <t>Colaianni_10</t>
  </si>
  <si>
    <t>Colaianni_11</t>
  </si>
  <si>
    <t>Colaianni_12</t>
  </si>
  <si>
    <t>Colaianni_13</t>
  </si>
  <si>
    <t>Colaianni_14</t>
  </si>
  <si>
    <t>Colaianni_15</t>
  </si>
  <si>
    <t>Colaianni_16</t>
  </si>
  <si>
    <t>Colaianni_17</t>
  </si>
  <si>
    <t>Colaianni_18</t>
  </si>
  <si>
    <t>Colaianni_19</t>
  </si>
  <si>
    <t>Colaianni_20</t>
  </si>
  <si>
    <t>Colaianni_21</t>
  </si>
  <si>
    <t>Colaianni_22</t>
  </si>
  <si>
    <t>Colaianni_23</t>
  </si>
  <si>
    <t>Colaianni_24</t>
  </si>
  <si>
    <t>Colaianni_25</t>
  </si>
  <si>
    <t>Colaianni_26</t>
  </si>
  <si>
    <t>Colaianni_27</t>
  </si>
  <si>
    <t>Colaianni_28</t>
  </si>
  <si>
    <t>Colaianni_29</t>
  </si>
  <si>
    <t>Colaianni_30</t>
  </si>
  <si>
    <t>Colaianni_31</t>
  </si>
  <si>
    <t>Colaianni_32</t>
  </si>
  <si>
    <t>Colaianni_33</t>
  </si>
  <si>
    <t>Colaianni_34</t>
  </si>
  <si>
    <t>Colaianni_35</t>
  </si>
  <si>
    <t>Colaianni_36</t>
  </si>
  <si>
    <t>Colaianni_37</t>
  </si>
  <si>
    <t>Colaianni_38</t>
  </si>
  <si>
    <t>Colaianni_39</t>
  </si>
  <si>
    <t>Colaianni_40</t>
  </si>
  <si>
    <t>Colaianni_41</t>
  </si>
  <si>
    <t>Colaianni_42</t>
  </si>
  <si>
    <t>Colaianni_43</t>
  </si>
  <si>
    <t>Colaianni_44</t>
  </si>
  <si>
    <t>Colaianni_45</t>
  </si>
  <si>
    <t>Colaianni_46</t>
  </si>
  <si>
    <t>Colaianni_47</t>
  </si>
  <si>
    <t>Colaianni_48</t>
  </si>
  <si>
    <t>Colaianni_49</t>
  </si>
  <si>
    <t>Colaianni_50</t>
  </si>
  <si>
    <t>Colaianni_51</t>
  </si>
  <si>
    <t>Colaianni_52</t>
  </si>
  <si>
    <t>Colaianni_53</t>
  </si>
  <si>
    <t>Colaianni_54</t>
  </si>
  <si>
    <t>Colaianni_55</t>
  </si>
  <si>
    <t>Colaianni_56</t>
  </si>
  <si>
    <t>Colaianni_57</t>
  </si>
  <si>
    <t>Colaianni_58</t>
  </si>
  <si>
    <t>Colaianni_59</t>
  </si>
  <si>
    <t>Colaianni_60</t>
  </si>
  <si>
    <t>Colaianni_61</t>
  </si>
  <si>
    <t>Colaianni_62</t>
  </si>
  <si>
    <t>Colaianni_63</t>
  </si>
  <si>
    <t>Colaianni_64</t>
  </si>
  <si>
    <t>Colaianni_65</t>
  </si>
  <si>
    <t>Colaianni_66</t>
  </si>
  <si>
    <t>Colaianni_67</t>
  </si>
  <si>
    <t>Colaianni_68</t>
  </si>
  <si>
    <t>Colaianni_69</t>
  </si>
  <si>
    <t>Colaianni_70</t>
  </si>
  <si>
    <t>Colaianni_71</t>
  </si>
  <si>
    <t>Colaianni_72</t>
  </si>
  <si>
    <t>Colaianni_73</t>
  </si>
  <si>
    <t>Colaianni_74</t>
  </si>
  <si>
    <t>Colaianni_75</t>
  </si>
  <si>
    <t>Colaianni_76</t>
  </si>
  <si>
    <t>Colaianni_77</t>
  </si>
  <si>
    <t>Colaianni_78</t>
  </si>
  <si>
    <t>Colaianni_79</t>
  </si>
  <si>
    <t>Colaianni_80</t>
  </si>
  <si>
    <t>Colaianni_81</t>
  </si>
  <si>
    <t>Colaianni_82</t>
  </si>
  <si>
    <t>Colaianni_83</t>
  </si>
  <si>
    <t>Chen_1</t>
  </si>
  <si>
    <t>Chen_2</t>
  </si>
  <si>
    <t>Chen_3</t>
  </si>
  <si>
    <t>Chen_4</t>
  </si>
  <si>
    <t>Nicotiana benthamiana</t>
  </si>
  <si>
    <t>NbFLS2-1</t>
  </si>
  <si>
    <t>Niben101Scf03455</t>
  </si>
  <si>
    <t>Vitis riparia</t>
  </si>
  <si>
    <t>FLS2XL</t>
  </si>
  <si>
    <t>PQ283347</t>
  </si>
  <si>
    <t>Quercus variabilis</t>
  </si>
  <si>
    <t>QvFLS2</t>
  </si>
  <si>
    <t>UTN00789.1</t>
  </si>
  <si>
    <t>Trachelospermum jasminoides</t>
  </si>
  <si>
    <t>TjFLS2</t>
  </si>
  <si>
    <t>UTN00804.1</t>
  </si>
  <si>
    <t>Humulus lupulus</t>
  </si>
  <si>
    <t>HlFLS2</t>
  </si>
  <si>
    <t xml:space="preserve"> XP_062096069.1</t>
  </si>
  <si>
    <t>Malus domestica</t>
  </si>
  <si>
    <t>MdFLS2</t>
  </si>
  <si>
    <t>XP_008371582.2</t>
  </si>
  <si>
    <t>Glycine max</t>
  </si>
  <si>
    <t>GmFLS2a</t>
  </si>
  <si>
    <t>G.max Wm82.a2.v1|Glyma.08G083300.1.p</t>
  </si>
  <si>
    <t>Wei et al., 2020</t>
  </si>
  <si>
    <t>VrFLS2</t>
  </si>
  <si>
    <t>PQ283348</t>
  </si>
  <si>
    <t>Fagus crenata</t>
  </si>
  <si>
    <t>FcFLS2</t>
  </si>
  <si>
    <t>BK068611</t>
  </si>
  <si>
    <t>Solanum lycopersicum</t>
  </si>
  <si>
    <t>SlFLS2</t>
  </si>
  <si>
    <t>XP_004233092.1</t>
  </si>
  <si>
    <t>Camellia sinensis</t>
  </si>
  <si>
    <t>camellia_sinensis</t>
  </si>
  <si>
    <t>ON556651.1</t>
  </si>
  <si>
    <t>Wu et al., 2022</t>
  </si>
  <si>
    <t>Fragaria x ananassa</t>
  </si>
  <si>
    <t>fragaria_x_ananassa</t>
  </si>
  <si>
    <t>ON556658.1</t>
  </si>
  <si>
    <t>malus_domestica</t>
  </si>
  <si>
    <t>UTN00798.1</t>
  </si>
  <si>
    <t>Malus halliana</t>
  </si>
  <si>
    <t>malus_halliana</t>
  </si>
  <si>
    <t>ON556660.1</t>
  </si>
  <si>
    <t>Phaseolus vulgaris</t>
  </si>
  <si>
    <t>phaseolus_vulgaris</t>
  </si>
  <si>
    <t>ON556666.1</t>
  </si>
  <si>
    <t>Populus davidiana</t>
  </si>
  <si>
    <t>populus_davidiana</t>
  </si>
  <si>
    <t>ON556655.1</t>
  </si>
  <si>
    <t>Populus deltoides</t>
  </si>
  <si>
    <t>populus_deltoides</t>
  </si>
  <si>
    <t>ON556654.1</t>
  </si>
  <si>
    <t>Populus trichocarpa</t>
  </si>
  <si>
    <t>populus_trichocarpa</t>
  </si>
  <si>
    <t>ON556653.1</t>
  </si>
  <si>
    <t>Prunus mume</t>
  </si>
  <si>
    <t>prunus_mume</t>
  </si>
  <si>
    <t>ON556662.1</t>
  </si>
  <si>
    <t>Prunus persica</t>
  </si>
  <si>
    <t>prunus_persica</t>
  </si>
  <si>
    <t>ON556661.1</t>
  </si>
  <si>
    <t>Prunus yedoensis</t>
  </si>
  <si>
    <t>prunus_yedoensis</t>
  </si>
  <si>
    <t>ON556663.1</t>
  </si>
  <si>
    <t>Rosa chinensis</t>
  </si>
  <si>
    <t>rosa_chinensis</t>
  </si>
  <si>
    <t>ON556657.1</t>
  </si>
  <si>
    <t>Salix suchowensis</t>
  </si>
  <si>
    <t>salix_suchowensis</t>
  </si>
  <si>
    <t>ON556656.1</t>
  </si>
  <si>
    <t>Zanthoxylum bungeanum</t>
  </si>
  <si>
    <t>zanthoxylum_bungeanum</t>
  </si>
  <si>
    <t>ON556664.1</t>
  </si>
  <si>
    <t>Plant Species</t>
  </si>
  <si>
    <t>Receptor</t>
  </si>
  <si>
    <t>Receptor Identifier</t>
  </si>
  <si>
    <t>Li et al., 2025</t>
  </si>
  <si>
    <t>Arabidopsis thaliana</t>
  </si>
  <si>
    <t>AtFLS2</t>
  </si>
  <si>
    <t>Colaianni et al., 2021</t>
  </si>
  <si>
    <t>-</t>
  </si>
  <si>
    <t>Co-Receptor</t>
  </si>
  <si>
    <t>Perception</t>
  </si>
  <si>
    <t>Classification</t>
  </si>
  <si>
    <t>No perception</t>
  </si>
  <si>
    <t>Chen et al., 2021</t>
  </si>
  <si>
    <t>Helft et al., 2016</t>
  </si>
  <si>
    <t>AtBAK1</t>
  </si>
  <si>
    <t>Li et al., 2025, Helft et al., 2016</t>
  </si>
  <si>
    <t>GmFLS2b</t>
  </si>
  <si>
    <t>G.max Wm82.a2.v1|Glyma.05G128200.1.p</t>
  </si>
  <si>
    <t>NbSERK3a</t>
  </si>
  <si>
    <t>SlSER3a</t>
  </si>
  <si>
    <t>Wei et al., 2018</t>
  </si>
  <si>
    <t>GmBAK1</t>
  </si>
  <si>
    <t>Pa20</t>
  </si>
  <si>
    <t>Pta</t>
  </si>
  <si>
    <t>PtaDA</t>
  </si>
  <si>
    <t>Synthesis Location</t>
  </si>
  <si>
    <t>Alternate ID</t>
  </si>
  <si>
    <t>GMI&amp;Apeptide&amp;GenScript</t>
  </si>
  <si>
    <t>NA</t>
  </si>
  <si>
    <t>control</t>
  </si>
  <si>
    <t>ROS-Zscore</t>
  </si>
  <si>
    <t>SGI-Zscore_effect</t>
  </si>
  <si>
    <t>fdr_pvalue</t>
  </si>
  <si>
    <t>Clade</t>
  </si>
  <si>
    <t>GMI</t>
  </si>
  <si>
    <t>Apeptide</t>
  </si>
  <si>
    <t>GMI&amp;Apeptide</t>
  </si>
  <si>
    <t>Apeptide&amp;GMI</t>
  </si>
  <si>
    <t>Apeptide&amp;GenScript</t>
  </si>
  <si>
    <t>GMI&amp;GenScript</t>
  </si>
  <si>
    <t>Peptide ID (from Colaianni paper)</t>
  </si>
  <si>
    <t>Pa</t>
  </si>
  <si>
    <t>avg_ligand_fls2_iptm</t>
  </si>
  <si>
    <t>avg_ligand_coreceptor_iptm</t>
  </si>
  <si>
    <t>avg_ligand_pae_min_fls2</t>
  </si>
  <si>
    <t>avg_ligand_pae_min_coreceptor</t>
  </si>
  <si>
    <t>sum_of_chain_pair_iptm</t>
  </si>
  <si>
    <t>sum_of_chain_pair_pae_min</t>
  </si>
  <si>
    <t>Rep1 iptm</t>
  </si>
  <si>
    <t>Rep1 ptm</t>
  </si>
  <si>
    <t>Rep2 iptm</t>
  </si>
  <si>
    <t>Rep2 ptm</t>
  </si>
  <si>
    <t>Rep3 iptm</t>
  </si>
  <si>
    <t>Rep3 ptm</t>
  </si>
  <si>
    <t>Rep1 ligand_fls2_iptm</t>
  </si>
  <si>
    <t>Rep1 ligand_coreceptor_iptm</t>
  </si>
  <si>
    <t>Rep1 ligand_pae_min_fls2</t>
  </si>
  <si>
    <t>Rep1 ligand_pae_min_coreceptor</t>
  </si>
  <si>
    <t>Rep2 ligand_fls2_iptm</t>
  </si>
  <si>
    <t>Rep2 ligand_coreceptor_iptm</t>
  </si>
  <si>
    <t>Rep2 ligand_pae_min_fls2</t>
  </si>
  <si>
    <t>Rep2 ligand_pae_min_coreceptor</t>
  </si>
  <si>
    <t>Rep3 ligand_fls2_iptm</t>
  </si>
  <si>
    <t>Rep3 ligand_coreceptor_iptm</t>
  </si>
  <si>
    <t>Rep3 ligand_pae_min_fls2</t>
  </si>
  <si>
    <t>Rep3 ligand_pae_min_coreceptor</t>
  </si>
  <si>
    <t>Rep1 Binary ipTM</t>
  </si>
  <si>
    <t>Rep1 Binary pTM</t>
  </si>
  <si>
    <t>Rep 2 Binary ipTM</t>
  </si>
  <si>
    <t>Rep2 Binary pTM</t>
  </si>
  <si>
    <t>Rep3 Binary ipTM</t>
  </si>
  <si>
    <t>Rep3 Binary pTM</t>
  </si>
  <si>
    <t>avg_binary_iptm</t>
  </si>
  <si>
    <t>avg_binary_ptm</t>
  </si>
  <si>
    <t>avg_iptm</t>
  </si>
  <si>
    <t>avg_ptm</t>
  </si>
  <si>
    <t>canonical/Immunogenic</t>
  </si>
  <si>
    <t>Deviant</t>
  </si>
  <si>
    <t>Evading</t>
  </si>
  <si>
    <t>Evading/antagonist</t>
  </si>
  <si>
    <t>AtFLS3</t>
  </si>
  <si>
    <t>AtFLS4</t>
  </si>
  <si>
    <t>AtFLS5</t>
  </si>
  <si>
    <t>AtFLS6</t>
  </si>
  <si>
    <t>AtFLS7</t>
  </si>
  <si>
    <t>AtFLS8</t>
  </si>
  <si>
    <t>AtFLS9</t>
  </si>
  <si>
    <t>Colaianni et al., 2022</t>
  </si>
  <si>
    <t>Colaianni et al., 2023</t>
  </si>
  <si>
    <t>Colaianni et al., 2024</t>
  </si>
  <si>
    <t>Colaianni et al., 2025</t>
  </si>
  <si>
    <t>Colaianni et al., 2026</t>
  </si>
  <si>
    <t>Colaianni et al., 2027</t>
  </si>
  <si>
    <t xml:space="preserve">PV2 </t>
  </si>
  <si>
    <t xml:space="preserve">PV1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</si>
</sst>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i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Helvetica"/>
      <family val="2"/>
    </font>
    <font>
      <b/>
      <sz val="16"/>
      <color theme="1"/>
      <name val="Helvetica"/>
      <family val="2"/>
    </font>
    <font>
      <b/>
      <sz val="16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7E0-220D-0241-8577-B469D8A69073}">
  <dimension ref="A1:AW1048574"/>
  <sheetViews>
    <sheetView tabSelected="1" zoomScale="75" workbookViewId="0">
      <selection activeCell="AH68" sqref="AH68"/>
    </sheetView>
  </sheetViews>
  <sheetFormatPr baseColWidth="10" defaultColWidth="51.5" defaultRowHeight="22" x14ac:dyDescent="0.3"/>
  <cols>
    <col min="1" max="1" width="26.6640625" style="2" customWidth="1"/>
    <col min="2" max="2" width="20" style="2" customWidth="1"/>
    <col min="3" max="3" width="22.5" style="2" customWidth="1"/>
    <col min="4" max="5" width="19.83203125" style="2" customWidth="1"/>
    <col min="6" max="6" width="29" style="2" customWidth="1"/>
    <col min="7" max="7" width="19.6640625" style="2" customWidth="1"/>
    <col min="8" max="8" width="24.33203125" style="2" customWidth="1"/>
    <col min="9" max="9" width="35.1640625" style="2" customWidth="1"/>
    <col min="10" max="10" width="17" style="2" customWidth="1"/>
    <col min="11" max="13" width="18.5" style="2" customWidth="1"/>
    <col min="14" max="14" width="23.6640625" style="2" customWidth="1"/>
    <col min="15" max="15" width="30.33203125" style="2" customWidth="1"/>
    <col min="16" max="16" width="18.1640625" style="17" customWidth="1"/>
    <col min="17" max="17" width="19.1640625" style="2" customWidth="1"/>
    <col min="18" max="18" width="18.1640625" style="2" customWidth="1"/>
    <col min="19" max="19" width="19.6640625" style="2" customWidth="1"/>
    <col min="20" max="20" width="19.1640625" style="2" customWidth="1"/>
    <col min="21" max="21" width="17.6640625" style="2" customWidth="1"/>
    <col min="22" max="22" width="21.33203125" style="2" customWidth="1"/>
    <col min="23" max="32" width="17.5" style="2" customWidth="1"/>
    <col min="33" max="33" width="17.5" style="13" customWidth="1"/>
    <col min="34" max="34" width="17.33203125" style="17" customWidth="1"/>
    <col min="35" max="38" width="17.33203125" style="2" customWidth="1"/>
    <col min="39" max="39" width="17.33203125" style="13" customWidth="1"/>
    <col min="40" max="41" width="26" style="2" customWidth="1"/>
    <col min="42" max="47" width="30.5" style="2" customWidth="1"/>
    <col min="48" max="49" width="27.83203125" style="2" customWidth="1"/>
    <col min="50" max="16384" width="51.5" style="2"/>
  </cols>
  <sheetData>
    <row r="1" spans="1:49" s="26" customFormat="1" ht="73" customHeight="1" x14ac:dyDescent="0.2">
      <c r="A1" s="21" t="s">
        <v>172</v>
      </c>
      <c r="B1" s="22" t="s">
        <v>173</v>
      </c>
      <c r="C1" s="22" t="s">
        <v>174</v>
      </c>
      <c r="D1" s="22" t="s">
        <v>0</v>
      </c>
      <c r="E1" s="22" t="s">
        <v>180</v>
      </c>
      <c r="F1" s="22" t="s">
        <v>1</v>
      </c>
      <c r="G1" s="22" t="s">
        <v>181</v>
      </c>
      <c r="H1" s="22" t="s">
        <v>212</v>
      </c>
      <c r="I1" s="22" t="s">
        <v>197</v>
      </c>
      <c r="J1" s="22" t="s">
        <v>198</v>
      </c>
      <c r="K1" s="23" t="s">
        <v>202</v>
      </c>
      <c r="L1" s="22" t="s">
        <v>203</v>
      </c>
      <c r="M1" s="22" t="s">
        <v>204</v>
      </c>
      <c r="N1" s="22" t="s">
        <v>205</v>
      </c>
      <c r="O1" s="22" t="s">
        <v>182</v>
      </c>
      <c r="P1" s="14" t="s">
        <v>220</v>
      </c>
      <c r="Q1" s="15" t="s">
        <v>221</v>
      </c>
      <c r="R1" s="15" t="s">
        <v>222</v>
      </c>
      <c r="S1" s="15" t="s">
        <v>223</v>
      </c>
      <c r="T1" s="15" t="s">
        <v>224</v>
      </c>
      <c r="U1" s="15" t="s">
        <v>225</v>
      </c>
      <c r="V1" s="15" t="s">
        <v>226</v>
      </c>
      <c r="W1" s="15" t="s">
        <v>227</v>
      </c>
      <c r="X1" s="15" t="s">
        <v>228</v>
      </c>
      <c r="Y1" s="15" t="s">
        <v>229</v>
      </c>
      <c r="Z1" s="15" t="s">
        <v>230</v>
      </c>
      <c r="AA1" s="15" t="s">
        <v>231</v>
      </c>
      <c r="AB1" s="15" t="s">
        <v>232</v>
      </c>
      <c r="AC1" s="15" t="s">
        <v>233</v>
      </c>
      <c r="AD1" s="15" t="s">
        <v>234</v>
      </c>
      <c r="AE1" s="15" t="s">
        <v>235</v>
      </c>
      <c r="AF1" s="15" t="s">
        <v>236</v>
      </c>
      <c r="AG1" s="16" t="s">
        <v>237</v>
      </c>
      <c r="AH1" s="27" t="s">
        <v>238</v>
      </c>
      <c r="AI1" s="24" t="s">
        <v>239</v>
      </c>
      <c r="AJ1" s="24" t="s">
        <v>240</v>
      </c>
      <c r="AK1" s="24" t="s">
        <v>241</v>
      </c>
      <c r="AL1" s="24" t="s">
        <v>242</v>
      </c>
      <c r="AM1" s="28" t="s">
        <v>243</v>
      </c>
      <c r="AN1" s="22" t="s">
        <v>246</v>
      </c>
      <c r="AO1" s="22" t="s">
        <v>247</v>
      </c>
      <c r="AP1" s="25" t="s">
        <v>214</v>
      </c>
      <c r="AQ1" s="25" t="s">
        <v>215</v>
      </c>
      <c r="AR1" s="25" t="s">
        <v>216</v>
      </c>
      <c r="AS1" s="25" t="s">
        <v>217</v>
      </c>
      <c r="AT1" s="25" t="s">
        <v>218</v>
      </c>
      <c r="AU1" s="25" t="s">
        <v>219</v>
      </c>
      <c r="AV1" s="26" t="s">
        <v>244</v>
      </c>
      <c r="AW1" s="26" t="s">
        <v>245</v>
      </c>
    </row>
    <row r="2" spans="1:49" x14ac:dyDescent="0.3">
      <c r="A2" s="4" t="s">
        <v>176</v>
      </c>
      <c r="B2" s="2" t="s">
        <v>177</v>
      </c>
      <c r="C2" s="2" t="s">
        <v>179</v>
      </c>
      <c r="D2" s="1" t="s">
        <v>14</v>
      </c>
      <c r="E2" s="2" t="s">
        <v>186</v>
      </c>
      <c r="F2" s="2" t="s">
        <v>178</v>
      </c>
      <c r="G2" s="2" t="s">
        <v>181</v>
      </c>
      <c r="H2" s="1">
        <v>17</v>
      </c>
      <c r="I2" s="1" t="s">
        <v>206</v>
      </c>
      <c r="J2" s="1"/>
      <c r="K2" s="1">
        <v>5.2930067449999996</v>
      </c>
      <c r="L2" s="1">
        <v>-3.3660256240000002</v>
      </c>
      <c r="M2" s="1">
        <v>5.5200000000000001E-31</v>
      </c>
      <c r="N2" s="1">
        <v>1</v>
      </c>
      <c r="O2" s="2" t="s">
        <v>248</v>
      </c>
      <c r="P2" s="17">
        <v>0.91</v>
      </c>
      <c r="Q2" s="2">
        <v>0.89</v>
      </c>
      <c r="R2" s="2">
        <v>0.91</v>
      </c>
      <c r="S2" s="2">
        <v>0.89</v>
      </c>
      <c r="T2" s="2">
        <v>0.91</v>
      </c>
      <c r="U2" s="2">
        <v>0.89</v>
      </c>
      <c r="V2" s="2">
        <v>0.89</v>
      </c>
      <c r="W2" s="2">
        <v>0.67</v>
      </c>
      <c r="X2" s="2">
        <v>2.1</v>
      </c>
      <c r="Y2" s="2">
        <v>2.36</v>
      </c>
      <c r="Z2" s="2">
        <v>0.89</v>
      </c>
      <c r="AA2" s="2">
        <v>0.67</v>
      </c>
      <c r="AB2" s="2">
        <v>1.87</v>
      </c>
      <c r="AC2" s="2">
        <v>2.2200000000000002</v>
      </c>
      <c r="AD2" s="2">
        <v>0.88</v>
      </c>
      <c r="AE2" s="2">
        <v>0.66</v>
      </c>
      <c r="AF2" s="2">
        <v>2.14</v>
      </c>
      <c r="AG2" s="13">
        <v>2.48</v>
      </c>
      <c r="AN2" s="2">
        <f>AVERAGE(P2,R2,T2)</f>
        <v>0.91</v>
      </c>
      <c r="AO2" s="2">
        <f>AVERAGE(Q2,S2,U2)</f>
        <v>0.89</v>
      </c>
      <c r="AP2" s="2">
        <f>AVERAGE(V2,Z2,AD2)</f>
        <v>0.88666666666666671</v>
      </c>
      <c r="AQ2" s="2">
        <f>AVERAGE(W2,AA2,AE2)</f>
        <v>0.66666666666666663</v>
      </c>
      <c r="AR2" s="2">
        <f>AVERAGE(X2,AB2,AF2)</f>
        <v>2.0366666666666666</v>
      </c>
      <c r="AS2" s="2">
        <f>AVERAGE(Y2,AC2,AG2)</f>
        <v>2.3533333333333335</v>
      </c>
      <c r="AT2" s="2">
        <f t="shared" ref="AT2:AT33" si="0">SUM(AP2:AQ2)</f>
        <v>1.5533333333333332</v>
      </c>
      <c r="AU2" s="2">
        <f t="shared" ref="AU2:AU33" si="1">SUM(AR2:AS2)</f>
        <v>4.3900000000000006</v>
      </c>
      <c r="AV2" s="2" t="e">
        <f>AVERAGE(AH2,AJ2,AL2)</f>
        <v>#DIV/0!</v>
      </c>
      <c r="AW2" s="2" t="e">
        <f>AVERAGE(AI2,AK2,AM2)</f>
        <v>#DIV/0!</v>
      </c>
    </row>
    <row r="3" spans="1:49" x14ac:dyDescent="0.3">
      <c r="A3" s="4" t="s">
        <v>176</v>
      </c>
      <c r="B3" s="2" t="s">
        <v>177</v>
      </c>
      <c r="C3" s="2" t="s">
        <v>179</v>
      </c>
      <c r="D3" s="1" t="s">
        <v>37</v>
      </c>
      <c r="E3" s="2" t="s">
        <v>186</v>
      </c>
      <c r="F3" s="2" t="s">
        <v>178</v>
      </c>
      <c r="G3" s="2" t="s">
        <v>183</v>
      </c>
      <c r="H3" s="1">
        <v>20</v>
      </c>
      <c r="I3" s="1" t="s">
        <v>206</v>
      </c>
      <c r="J3" s="1"/>
      <c r="K3" s="1">
        <v>-2.4885401850000002</v>
      </c>
      <c r="L3" s="1">
        <v>1.1239901999999999</v>
      </c>
      <c r="M3" s="1">
        <v>4.3200000000000001E-6</v>
      </c>
      <c r="N3" s="1">
        <v>3</v>
      </c>
      <c r="O3" s="2" t="s">
        <v>250</v>
      </c>
      <c r="P3" s="17">
        <v>0.87</v>
      </c>
      <c r="Q3" s="2">
        <v>0.88</v>
      </c>
      <c r="R3" s="2">
        <v>0.87</v>
      </c>
      <c r="S3" s="2">
        <v>0.88</v>
      </c>
      <c r="T3" s="2">
        <v>0.88</v>
      </c>
      <c r="U3" s="2">
        <v>0.88</v>
      </c>
      <c r="V3" s="2">
        <v>0.61</v>
      </c>
      <c r="W3" s="2">
        <v>0.37</v>
      </c>
      <c r="X3" s="2">
        <v>8.85</v>
      </c>
      <c r="Y3" s="2">
        <v>8.9600000000000009</v>
      </c>
      <c r="Z3" s="2">
        <v>0.55000000000000004</v>
      </c>
      <c r="AA3" s="2">
        <v>0.33</v>
      </c>
      <c r="AB3" s="2">
        <v>8.58</v>
      </c>
      <c r="AC3" s="2">
        <v>9.5399999999999991</v>
      </c>
      <c r="AD3" s="2">
        <v>0.57999999999999996</v>
      </c>
      <c r="AE3" s="2">
        <v>0.34</v>
      </c>
      <c r="AF3" s="2">
        <v>10.119999999999999</v>
      </c>
      <c r="AG3" s="13">
        <v>10.81</v>
      </c>
      <c r="AN3" s="2">
        <f>AVERAGE(P3,R3,T3)</f>
        <v>0.87333333333333341</v>
      </c>
      <c r="AO3" s="2">
        <f>AVERAGE(Q3,S3,U3)</f>
        <v>0.88</v>
      </c>
      <c r="AP3" s="2">
        <f>AVERAGE(V3,Z3,AD3)</f>
        <v>0.58000000000000007</v>
      </c>
      <c r="AQ3" s="2">
        <f>AVERAGE(W3,AA3,AE3)</f>
        <v>0.34666666666666668</v>
      </c>
      <c r="AR3" s="2">
        <f>AVERAGE(X3,AB3,AF3)</f>
        <v>9.1833333333333318</v>
      </c>
      <c r="AS3" s="2">
        <f>AVERAGE(Y3,AC3,AG3)</f>
        <v>9.7700000000000014</v>
      </c>
      <c r="AT3" s="2">
        <f t="shared" si="0"/>
        <v>0.92666666666666675</v>
      </c>
      <c r="AU3" s="2">
        <f t="shared" si="1"/>
        <v>18.953333333333333</v>
      </c>
      <c r="AV3" s="2" t="e">
        <f>AVERAGE(AH3,AJ3,AL3)</f>
        <v>#DIV/0!</v>
      </c>
      <c r="AW3" s="2" t="e">
        <f>AVERAGE(AI3,AK3,AM3)</f>
        <v>#DIV/0!</v>
      </c>
    </row>
    <row r="4" spans="1:49" x14ac:dyDescent="0.3">
      <c r="A4" s="4" t="s">
        <v>176</v>
      </c>
      <c r="B4" s="2" t="s">
        <v>177</v>
      </c>
      <c r="C4" s="2" t="s">
        <v>179</v>
      </c>
      <c r="D4" s="1" t="s">
        <v>38</v>
      </c>
      <c r="E4" s="2" t="s">
        <v>186</v>
      </c>
      <c r="F4" s="2" t="s">
        <v>178</v>
      </c>
      <c r="G4" s="2" t="s">
        <v>183</v>
      </c>
      <c r="H4" s="1">
        <v>59</v>
      </c>
      <c r="I4" s="1" t="s">
        <v>206</v>
      </c>
      <c r="J4" s="1"/>
      <c r="K4" s="1">
        <v>-1.981918474</v>
      </c>
      <c r="L4" s="1">
        <v>0.37661620299999998</v>
      </c>
      <c r="M4" s="1">
        <v>0.39466259599999998</v>
      </c>
      <c r="N4" s="1">
        <v>3</v>
      </c>
      <c r="O4" s="2" t="s">
        <v>250</v>
      </c>
      <c r="P4" s="17">
        <v>0.86</v>
      </c>
      <c r="Q4" s="2">
        <v>0.87</v>
      </c>
      <c r="R4" s="2">
        <v>0.86</v>
      </c>
      <c r="S4" s="2">
        <v>0.87</v>
      </c>
      <c r="T4" s="2">
        <v>0.78</v>
      </c>
      <c r="U4" s="2">
        <v>0.86</v>
      </c>
      <c r="V4" s="2">
        <v>0.55000000000000004</v>
      </c>
      <c r="W4" s="2">
        <v>0.3</v>
      </c>
      <c r="X4" s="2">
        <v>9.83</v>
      </c>
      <c r="Y4" s="2">
        <v>11.96</v>
      </c>
      <c r="Z4" s="2">
        <v>0.54</v>
      </c>
      <c r="AA4" s="2">
        <v>0.3</v>
      </c>
      <c r="AB4" s="2">
        <v>10.220000000000001</v>
      </c>
      <c r="AC4" s="2">
        <v>13.03</v>
      </c>
      <c r="AD4" s="2">
        <v>0.43</v>
      </c>
      <c r="AE4" s="2">
        <v>0.22</v>
      </c>
      <c r="AF4" s="2">
        <v>12.42</v>
      </c>
      <c r="AG4" s="13">
        <v>14.17</v>
      </c>
      <c r="AN4" s="2">
        <f>AVERAGE(P4,R4,T4)</f>
        <v>0.83333333333333337</v>
      </c>
      <c r="AO4" s="2">
        <f>AVERAGE(Q4,S4,U4)</f>
        <v>0.8666666666666667</v>
      </c>
      <c r="AP4" s="2">
        <f>AVERAGE(V4,Z4,AD4)</f>
        <v>0.50666666666666671</v>
      </c>
      <c r="AQ4" s="2">
        <f>AVERAGE(W4,AA4,AE4)</f>
        <v>0.27333333333333332</v>
      </c>
      <c r="AR4" s="2">
        <f>AVERAGE(X4,AB4,AF4)</f>
        <v>10.823333333333332</v>
      </c>
      <c r="AS4" s="2">
        <f>AVERAGE(Y4,AC4,AG4)</f>
        <v>13.053333333333335</v>
      </c>
      <c r="AT4" s="2">
        <f t="shared" si="0"/>
        <v>0.78</v>
      </c>
      <c r="AU4" s="2">
        <f t="shared" si="1"/>
        <v>23.876666666666665</v>
      </c>
      <c r="AV4" s="2" t="e">
        <f>AVERAGE(AH4,AJ4,AL4)</f>
        <v>#DIV/0!</v>
      </c>
      <c r="AW4" s="2" t="e">
        <f>AVERAGE(AI4,AK4,AM4)</f>
        <v>#DIV/0!</v>
      </c>
    </row>
    <row r="5" spans="1:49" x14ac:dyDescent="0.3">
      <c r="A5" s="4" t="s">
        <v>176</v>
      </c>
      <c r="B5" s="2" t="s">
        <v>177</v>
      </c>
      <c r="C5" s="2" t="s">
        <v>179</v>
      </c>
      <c r="D5" s="1" t="s">
        <v>39</v>
      </c>
      <c r="E5" s="2" t="s">
        <v>186</v>
      </c>
      <c r="F5" s="2" t="s">
        <v>178</v>
      </c>
      <c r="G5" s="2" t="s">
        <v>183</v>
      </c>
      <c r="H5" s="1">
        <v>83</v>
      </c>
      <c r="I5" s="1" t="s">
        <v>206</v>
      </c>
      <c r="J5" s="1"/>
      <c r="K5" s="1">
        <v>-3.1678313039999999</v>
      </c>
      <c r="L5" s="1">
        <v>1.005061709</v>
      </c>
      <c r="M5" s="1">
        <v>6.2051370000000003E-3</v>
      </c>
      <c r="N5" s="1">
        <v>3</v>
      </c>
      <c r="O5" s="2" t="s">
        <v>250</v>
      </c>
      <c r="P5" s="17">
        <v>0.86</v>
      </c>
      <c r="Q5" s="2">
        <v>0.87</v>
      </c>
      <c r="R5" s="2">
        <v>0.9</v>
      </c>
      <c r="S5" s="2">
        <v>0.89</v>
      </c>
      <c r="T5" s="2">
        <v>0.87</v>
      </c>
      <c r="U5" s="2">
        <v>0.87</v>
      </c>
      <c r="V5" s="2">
        <v>0.54</v>
      </c>
      <c r="W5" s="2">
        <v>0.31</v>
      </c>
      <c r="X5" s="2">
        <v>8.8000000000000007</v>
      </c>
      <c r="Y5" s="2">
        <v>9.99</v>
      </c>
      <c r="Z5" s="2">
        <v>0.66</v>
      </c>
      <c r="AA5" s="2">
        <v>0.47</v>
      </c>
      <c r="AB5" s="2">
        <v>5.9</v>
      </c>
      <c r="AC5" s="2">
        <v>5.1100000000000003</v>
      </c>
      <c r="AD5" s="2">
        <v>0.54</v>
      </c>
      <c r="AE5" s="2">
        <v>0.31</v>
      </c>
      <c r="AF5" s="2">
        <v>9.86</v>
      </c>
      <c r="AG5" s="13">
        <v>10.81</v>
      </c>
      <c r="AN5" s="2">
        <f>AVERAGE(P5,R5,T5)</f>
        <v>0.87666666666666659</v>
      </c>
      <c r="AO5" s="2">
        <f>AVERAGE(Q5,S5,U5)</f>
        <v>0.87666666666666659</v>
      </c>
      <c r="AP5" s="2">
        <f>AVERAGE(V5,Z5,AD5)</f>
        <v>0.58000000000000007</v>
      </c>
      <c r="AQ5" s="2">
        <f>AVERAGE(W5,AA5,AE5)</f>
        <v>0.36333333333333334</v>
      </c>
      <c r="AR5" s="2">
        <f>AVERAGE(X5,AB5,AF5)</f>
        <v>8.1866666666666674</v>
      </c>
      <c r="AS5" s="2">
        <f>AVERAGE(Y5,AC5,AG5)</f>
        <v>8.6366666666666685</v>
      </c>
      <c r="AT5" s="2">
        <f t="shared" si="0"/>
        <v>0.94333333333333336</v>
      </c>
      <c r="AU5" s="2">
        <f t="shared" si="1"/>
        <v>16.823333333333338</v>
      </c>
      <c r="AV5" s="2" t="e">
        <f>AVERAGE(AH5,AJ5,AL5)</f>
        <v>#DIV/0!</v>
      </c>
      <c r="AW5" s="2" t="e">
        <f>AVERAGE(AI5,AK5,AM5)</f>
        <v>#DIV/0!</v>
      </c>
    </row>
    <row r="6" spans="1:49" x14ac:dyDescent="0.3">
      <c r="A6" s="7" t="s">
        <v>176</v>
      </c>
      <c r="B6" s="8" t="s">
        <v>177</v>
      </c>
      <c r="C6" s="8" t="s">
        <v>179</v>
      </c>
      <c r="D6" s="8" t="s">
        <v>179</v>
      </c>
      <c r="E6" s="8" t="s">
        <v>186</v>
      </c>
      <c r="F6" s="8" t="s">
        <v>178</v>
      </c>
      <c r="G6" s="37" t="s">
        <v>179</v>
      </c>
      <c r="H6" s="8">
        <v>94</v>
      </c>
      <c r="I6" s="8" t="s">
        <v>206</v>
      </c>
      <c r="J6" s="8"/>
      <c r="K6" s="8">
        <v>3.6026249990000001</v>
      </c>
      <c r="L6" s="8">
        <v>-0.37685876800000001</v>
      </c>
      <c r="M6" s="8">
        <v>0.33435052900000001</v>
      </c>
      <c r="N6" s="8">
        <v>2</v>
      </c>
      <c r="O6" s="8" t="s">
        <v>249</v>
      </c>
      <c r="P6" s="18">
        <v>0.76</v>
      </c>
      <c r="Q6" s="8">
        <v>0.85</v>
      </c>
      <c r="R6" s="8">
        <v>0.9</v>
      </c>
      <c r="S6" s="8">
        <v>0.89</v>
      </c>
      <c r="T6" s="8">
        <v>0.91</v>
      </c>
      <c r="U6" s="8">
        <v>0.89</v>
      </c>
      <c r="V6" s="8">
        <v>0.36</v>
      </c>
      <c r="W6" s="8">
        <v>0.21</v>
      </c>
      <c r="X6" s="8">
        <v>15.1</v>
      </c>
      <c r="Y6" s="8">
        <v>15.83</v>
      </c>
      <c r="Z6" s="8">
        <v>0.76</v>
      </c>
      <c r="AA6" s="8">
        <v>0.54</v>
      </c>
      <c r="AB6" s="8">
        <v>4.37</v>
      </c>
      <c r="AC6" s="8">
        <v>3.95</v>
      </c>
      <c r="AD6" s="8">
        <v>0.84</v>
      </c>
      <c r="AE6" s="8">
        <v>0.61</v>
      </c>
      <c r="AF6" s="8">
        <v>2.73</v>
      </c>
      <c r="AG6" s="19">
        <v>2.98</v>
      </c>
      <c r="AH6" s="18"/>
      <c r="AI6" s="8"/>
      <c r="AJ6" s="8"/>
      <c r="AK6" s="8"/>
      <c r="AL6" s="8"/>
      <c r="AM6" s="19"/>
      <c r="AN6" s="2">
        <f>AVERAGE(P6,R6,T6)</f>
        <v>0.8566666666666668</v>
      </c>
      <c r="AO6" s="2">
        <f>AVERAGE(Q6,S6,U6)</f>
        <v>0.87666666666666659</v>
      </c>
      <c r="AP6" s="2">
        <f>AVERAGE(V6,Z6,AD6)</f>
        <v>0.65333333333333332</v>
      </c>
      <c r="AQ6" s="2">
        <f>AVERAGE(W6,AA6,AE6)</f>
        <v>0.45333333333333331</v>
      </c>
      <c r="AR6" s="2">
        <f>AVERAGE(X6,AB6,AF6)</f>
        <v>7.3999999999999995</v>
      </c>
      <c r="AS6" s="2">
        <f>AVERAGE(Y6,AC6,AG6)</f>
        <v>7.5866666666666669</v>
      </c>
      <c r="AT6" s="2">
        <f t="shared" si="0"/>
        <v>1.1066666666666667</v>
      </c>
      <c r="AU6" s="2">
        <f t="shared" si="1"/>
        <v>14.986666666666666</v>
      </c>
      <c r="AV6" s="2" t="e">
        <f>AVERAGE(AH6,AJ6,AL6)</f>
        <v>#DIV/0!</v>
      </c>
      <c r="AW6" s="2" t="e">
        <f>AVERAGE(AI6,AK6,AM6)</f>
        <v>#DIV/0!</v>
      </c>
    </row>
    <row r="7" spans="1:49" x14ac:dyDescent="0.3">
      <c r="A7" s="4" t="s">
        <v>176</v>
      </c>
      <c r="B7" s="2" t="s">
        <v>177</v>
      </c>
      <c r="C7" s="2" t="s">
        <v>179</v>
      </c>
      <c r="D7" s="1" t="s">
        <v>40</v>
      </c>
      <c r="E7" s="2" t="s">
        <v>186</v>
      </c>
      <c r="F7" s="2" t="s">
        <v>178</v>
      </c>
      <c r="G7" s="2" t="s">
        <v>183</v>
      </c>
      <c r="H7" s="1">
        <v>99</v>
      </c>
      <c r="I7" s="1" t="s">
        <v>206</v>
      </c>
      <c r="J7" s="1"/>
      <c r="K7" s="1">
        <v>-2.8422294400000001</v>
      </c>
      <c r="L7" s="1">
        <v>-0.54579353900000005</v>
      </c>
      <c r="M7" s="1">
        <v>0.21168477899999999</v>
      </c>
      <c r="N7" s="1">
        <v>3</v>
      </c>
      <c r="O7" s="2" t="s">
        <v>250</v>
      </c>
      <c r="P7" s="17">
        <v>0.86</v>
      </c>
      <c r="Q7" s="2">
        <v>0.87</v>
      </c>
      <c r="R7" s="2">
        <v>0.86</v>
      </c>
      <c r="S7" s="2">
        <v>0.87</v>
      </c>
      <c r="T7" s="2">
        <v>0.85</v>
      </c>
      <c r="U7" s="2">
        <v>0.87</v>
      </c>
      <c r="V7" s="2">
        <v>0.56999999999999995</v>
      </c>
      <c r="W7" s="2">
        <v>0.32</v>
      </c>
      <c r="X7" s="2">
        <v>9.76</v>
      </c>
      <c r="Y7" s="2">
        <v>9.65</v>
      </c>
      <c r="Z7" s="2">
        <v>0.54</v>
      </c>
      <c r="AA7" s="2">
        <v>0.3</v>
      </c>
      <c r="AB7" s="2">
        <v>10.82</v>
      </c>
      <c r="AC7" s="2">
        <v>11.28</v>
      </c>
      <c r="AD7" s="2">
        <v>0.45</v>
      </c>
      <c r="AE7" s="2">
        <v>0.23</v>
      </c>
      <c r="AF7" s="2">
        <v>10.94</v>
      </c>
      <c r="AG7" s="13">
        <v>12.38</v>
      </c>
      <c r="AN7" s="2">
        <f>AVERAGE(P7,R7,T7)</f>
        <v>0.85666666666666658</v>
      </c>
      <c r="AO7" s="2">
        <f>AVERAGE(Q7,S7,U7)</f>
        <v>0.87</v>
      </c>
      <c r="AP7" s="2">
        <f>AVERAGE(V7,Z7,AD7)</f>
        <v>0.51999999999999991</v>
      </c>
      <c r="AQ7" s="2">
        <f>AVERAGE(W7,AA7,AE7)</f>
        <v>0.28333333333333333</v>
      </c>
      <c r="AR7" s="2">
        <f>AVERAGE(X7,AB7,AF7)</f>
        <v>10.506666666666666</v>
      </c>
      <c r="AS7" s="2">
        <f>AVERAGE(Y7,AC7,AG7)</f>
        <v>11.103333333333333</v>
      </c>
      <c r="AT7" s="2">
        <f t="shared" si="0"/>
        <v>0.80333333333333323</v>
      </c>
      <c r="AU7" s="2">
        <f t="shared" si="1"/>
        <v>21.61</v>
      </c>
      <c r="AV7" s="2" t="e">
        <f>AVERAGE(AH7,AJ7,AL7)</f>
        <v>#DIV/0!</v>
      </c>
      <c r="AW7" s="2" t="e">
        <f>AVERAGE(AI7,AK7,AM7)</f>
        <v>#DIV/0!</v>
      </c>
    </row>
    <row r="8" spans="1:49" x14ac:dyDescent="0.3">
      <c r="A8" s="4" t="s">
        <v>176</v>
      </c>
      <c r="B8" s="2" t="s">
        <v>177</v>
      </c>
      <c r="C8" s="2" t="s">
        <v>179</v>
      </c>
      <c r="D8" s="1" t="s">
        <v>41</v>
      </c>
      <c r="E8" s="2" t="s">
        <v>186</v>
      </c>
      <c r="F8" s="2" t="s">
        <v>178</v>
      </c>
      <c r="G8" s="2" t="s">
        <v>183</v>
      </c>
      <c r="H8" s="1">
        <v>102</v>
      </c>
      <c r="I8" s="1" t="s">
        <v>206</v>
      </c>
      <c r="J8" s="1"/>
      <c r="K8" s="1">
        <v>-2.3509565270000001</v>
      </c>
      <c r="L8" s="1">
        <v>-0.77982217700000001</v>
      </c>
      <c r="M8" s="1">
        <v>6.1401319000000003E-2</v>
      </c>
      <c r="N8" s="1">
        <v>3</v>
      </c>
      <c r="O8" s="2" t="s">
        <v>250</v>
      </c>
      <c r="P8" s="17">
        <v>0.78</v>
      </c>
      <c r="Q8" s="2">
        <v>0.86</v>
      </c>
      <c r="R8" s="2">
        <v>0.85</v>
      </c>
      <c r="S8" s="2">
        <v>0.86</v>
      </c>
      <c r="T8" s="2">
        <v>0.82</v>
      </c>
      <c r="U8" s="2">
        <v>0.86</v>
      </c>
      <c r="V8" s="2">
        <v>0.41</v>
      </c>
      <c r="W8" s="2">
        <v>0.21</v>
      </c>
      <c r="X8" s="2">
        <v>12.89</v>
      </c>
      <c r="Y8" s="2">
        <v>12.85</v>
      </c>
      <c r="Z8" s="2">
        <v>0.44</v>
      </c>
      <c r="AA8" s="2">
        <v>0.27</v>
      </c>
      <c r="AB8" s="2">
        <v>14.08</v>
      </c>
      <c r="AC8" s="2">
        <v>10.56</v>
      </c>
      <c r="AD8" s="2">
        <v>0.45</v>
      </c>
      <c r="AE8" s="2">
        <v>0.25</v>
      </c>
      <c r="AF8" s="2">
        <v>12.83</v>
      </c>
      <c r="AG8" s="13">
        <v>11.82</v>
      </c>
      <c r="AN8" s="2">
        <f>AVERAGE(P8,R8,T8)</f>
        <v>0.81666666666666654</v>
      </c>
      <c r="AO8" s="2">
        <f>AVERAGE(Q8,S8,U8)</f>
        <v>0.86</v>
      </c>
      <c r="AP8" s="2">
        <f>AVERAGE(V8,Z8,AD8)</f>
        <v>0.43333333333333335</v>
      </c>
      <c r="AQ8" s="2">
        <f>AVERAGE(W8,AA8,AE8)</f>
        <v>0.24333333333333332</v>
      </c>
      <c r="AR8" s="2">
        <f>AVERAGE(X8,AB8,AF8)</f>
        <v>13.266666666666666</v>
      </c>
      <c r="AS8" s="2">
        <f>AVERAGE(Y8,AC8,AG8)</f>
        <v>11.743333333333334</v>
      </c>
      <c r="AT8" s="2">
        <f t="shared" si="0"/>
        <v>0.67666666666666664</v>
      </c>
      <c r="AU8" s="2">
        <f t="shared" si="1"/>
        <v>25.009999999999998</v>
      </c>
      <c r="AV8" s="2" t="e">
        <f>AVERAGE(AH8,AJ8,AL8)</f>
        <v>#DIV/0!</v>
      </c>
      <c r="AW8" s="2" t="e">
        <f>AVERAGE(AI8,AK8,AM8)</f>
        <v>#DIV/0!</v>
      </c>
    </row>
    <row r="9" spans="1:49" x14ac:dyDescent="0.3">
      <c r="A9" s="4" t="s">
        <v>176</v>
      </c>
      <c r="B9" s="2" t="s">
        <v>177</v>
      </c>
      <c r="C9" s="2" t="s">
        <v>179</v>
      </c>
      <c r="D9" s="1" t="s">
        <v>43</v>
      </c>
      <c r="E9" s="2" t="s">
        <v>186</v>
      </c>
      <c r="F9" s="2" t="s">
        <v>178</v>
      </c>
      <c r="G9" s="2" t="s">
        <v>183</v>
      </c>
      <c r="H9" s="1">
        <v>118</v>
      </c>
      <c r="I9" s="1" t="s">
        <v>206</v>
      </c>
      <c r="J9" s="1"/>
      <c r="K9" s="1">
        <v>-2.0611382150000002</v>
      </c>
      <c r="L9" s="1">
        <v>-0.20036941899999999</v>
      </c>
      <c r="M9" s="1">
        <v>0.66578365500000003</v>
      </c>
      <c r="N9" s="1">
        <v>3</v>
      </c>
      <c r="O9" s="2" t="s">
        <v>250</v>
      </c>
      <c r="P9" s="17">
        <v>0.83</v>
      </c>
      <c r="Q9" s="2">
        <v>0.87</v>
      </c>
      <c r="R9" s="2">
        <v>0.84</v>
      </c>
      <c r="S9" s="2">
        <v>0.87</v>
      </c>
      <c r="T9" s="2">
        <v>0.87</v>
      </c>
      <c r="U9" s="2">
        <v>0.88</v>
      </c>
      <c r="V9" s="2">
        <v>0.47</v>
      </c>
      <c r="W9" s="2">
        <v>0.27</v>
      </c>
      <c r="X9" s="2">
        <v>10.02</v>
      </c>
      <c r="Y9" s="2">
        <v>10.17</v>
      </c>
      <c r="Z9" s="2">
        <v>0.46</v>
      </c>
      <c r="AA9" s="2">
        <v>0.25</v>
      </c>
      <c r="AB9" s="2">
        <v>13.07</v>
      </c>
      <c r="AC9" s="2">
        <v>12.19</v>
      </c>
      <c r="AD9" s="2">
        <v>0.56999999999999995</v>
      </c>
      <c r="AE9" s="2">
        <v>0.32</v>
      </c>
      <c r="AF9" s="2">
        <v>10.01</v>
      </c>
      <c r="AG9" s="13">
        <v>10.89</v>
      </c>
      <c r="AN9" s="2">
        <f>AVERAGE(P9,R9,T9)</f>
        <v>0.84666666666666668</v>
      </c>
      <c r="AO9" s="2">
        <f>AVERAGE(Q9,S9,U9)</f>
        <v>0.87333333333333341</v>
      </c>
      <c r="AP9" s="2">
        <f>AVERAGE(V9,Z9,AD9)</f>
        <v>0.5</v>
      </c>
      <c r="AQ9" s="2">
        <f>AVERAGE(W9,AA9,AE9)</f>
        <v>0.28000000000000003</v>
      </c>
      <c r="AR9" s="2">
        <f>AVERAGE(X9,AB9,AF9)</f>
        <v>11.033333333333333</v>
      </c>
      <c r="AS9" s="2">
        <f>AVERAGE(Y9,AC9,AG9)</f>
        <v>11.083333333333334</v>
      </c>
      <c r="AT9" s="2">
        <f t="shared" si="0"/>
        <v>0.78</v>
      </c>
      <c r="AU9" s="2">
        <f t="shared" si="1"/>
        <v>22.116666666666667</v>
      </c>
      <c r="AV9" s="2" t="e">
        <f>AVERAGE(AH9,AJ9,AL9)</f>
        <v>#DIV/0!</v>
      </c>
      <c r="AW9" s="2" t="e">
        <f>AVERAGE(AI9,AK9,AM9)</f>
        <v>#DIV/0!</v>
      </c>
    </row>
    <row r="10" spans="1:49" x14ac:dyDescent="0.3">
      <c r="A10" s="4" t="s">
        <v>176</v>
      </c>
      <c r="B10" s="2" t="s">
        <v>177</v>
      </c>
      <c r="C10" s="2" t="s">
        <v>179</v>
      </c>
      <c r="D10" s="1" t="s">
        <v>44</v>
      </c>
      <c r="E10" s="2" t="s">
        <v>186</v>
      </c>
      <c r="F10" s="2" t="s">
        <v>178</v>
      </c>
      <c r="G10" s="2" t="s">
        <v>183</v>
      </c>
      <c r="H10" s="1">
        <v>133</v>
      </c>
      <c r="I10" s="1" t="s">
        <v>206</v>
      </c>
      <c r="J10" s="1"/>
      <c r="K10" s="1">
        <v>-1.9847225749999999</v>
      </c>
      <c r="L10" s="1">
        <v>-0.44689301100000001</v>
      </c>
      <c r="M10" s="1">
        <v>0.31209340200000002</v>
      </c>
      <c r="N10" s="1">
        <v>3</v>
      </c>
      <c r="O10" s="2" t="s">
        <v>250</v>
      </c>
      <c r="P10" s="17">
        <v>0.87</v>
      </c>
      <c r="Q10" s="2">
        <v>0.88</v>
      </c>
      <c r="R10" s="2">
        <v>0.87</v>
      </c>
      <c r="S10" s="2">
        <v>0.88</v>
      </c>
      <c r="T10" s="2">
        <v>0.81</v>
      </c>
      <c r="U10" s="2">
        <v>0.86</v>
      </c>
      <c r="V10" s="2">
        <v>0.55000000000000004</v>
      </c>
      <c r="W10" s="2">
        <v>0.33</v>
      </c>
      <c r="X10" s="2">
        <v>8.99</v>
      </c>
      <c r="Y10" s="2">
        <v>11.23</v>
      </c>
      <c r="Z10" s="2">
        <v>0.54</v>
      </c>
      <c r="AA10" s="2">
        <v>0.31</v>
      </c>
      <c r="AB10" s="2">
        <v>9.9700000000000006</v>
      </c>
      <c r="AC10" s="2">
        <v>9.7100000000000009</v>
      </c>
      <c r="AD10" s="2">
        <v>0.56000000000000005</v>
      </c>
      <c r="AE10" s="2">
        <v>0.31</v>
      </c>
      <c r="AF10" s="2">
        <v>8.8000000000000007</v>
      </c>
      <c r="AG10" s="13">
        <v>12.59</v>
      </c>
      <c r="AN10" s="2">
        <f>AVERAGE(P10,R10,T10)</f>
        <v>0.85</v>
      </c>
      <c r="AO10" s="2">
        <f>AVERAGE(Q10,S10,U10)</f>
        <v>0.87333333333333341</v>
      </c>
      <c r="AP10" s="2">
        <f>AVERAGE(V10,Z10,AD10)</f>
        <v>0.55000000000000004</v>
      </c>
      <c r="AQ10" s="2">
        <f>AVERAGE(W10,AA10,AE10)</f>
        <v>0.31666666666666665</v>
      </c>
      <c r="AR10" s="2">
        <f>AVERAGE(X10,AB10,AF10)</f>
        <v>9.2533333333333339</v>
      </c>
      <c r="AS10" s="2">
        <f>AVERAGE(Y10,AC10,AG10)</f>
        <v>11.176666666666668</v>
      </c>
      <c r="AT10" s="2">
        <f t="shared" si="0"/>
        <v>0.8666666666666667</v>
      </c>
      <c r="AU10" s="2">
        <f t="shared" si="1"/>
        <v>20.43</v>
      </c>
      <c r="AV10" s="2" t="e">
        <f>AVERAGE(AH10,AJ10,AL10)</f>
        <v>#DIV/0!</v>
      </c>
      <c r="AW10" s="2" t="e">
        <f>AVERAGE(AI10,AK10,AM10)</f>
        <v>#DIV/0!</v>
      </c>
    </row>
    <row r="11" spans="1:49" x14ac:dyDescent="0.3">
      <c r="A11" s="4" t="s">
        <v>176</v>
      </c>
      <c r="B11" s="2" t="s">
        <v>177</v>
      </c>
      <c r="C11" s="2" t="s">
        <v>179</v>
      </c>
      <c r="D11" s="1" t="s">
        <v>45</v>
      </c>
      <c r="E11" s="2" t="s">
        <v>186</v>
      </c>
      <c r="F11" s="2" t="s">
        <v>178</v>
      </c>
      <c r="G11" s="2" t="s">
        <v>183</v>
      </c>
      <c r="H11" s="1">
        <v>146</v>
      </c>
      <c r="I11" s="1" t="s">
        <v>206</v>
      </c>
      <c r="J11" s="1"/>
      <c r="K11" s="1">
        <v>-2.9611160970000001</v>
      </c>
      <c r="L11" s="1">
        <v>0.30325394100000003</v>
      </c>
      <c r="M11" s="1">
        <v>0.44864988500000003</v>
      </c>
      <c r="N11" s="1">
        <v>3</v>
      </c>
      <c r="O11" s="2" t="s">
        <v>250</v>
      </c>
      <c r="P11" s="17">
        <v>0.9</v>
      </c>
      <c r="Q11" s="2">
        <v>0.89</v>
      </c>
      <c r="R11" s="2">
        <v>0.91</v>
      </c>
      <c r="S11" s="2">
        <v>0.89</v>
      </c>
      <c r="T11" s="2">
        <v>0.88</v>
      </c>
      <c r="U11" s="2">
        <v>0.87</v>
      </c>
      <c r="V11" s="2">
        <v>0.79</v>
      </c>
      <c r="W11" s="2">
        <v>0.56999999999999995</v>
      </c>
      <c r="X11" s="2">
        <v>4.01</v>
      </c>
      <c r="Y11" s="2">
        <v>3.36</v>
      </c>
      <c r="Z11" s="2">
        <v>0.78</v>
      </c>
      <c r="AA11" s="2">
        <v>0.6</v>
      </c>
      <c r="AB11" s="2">
        <v>3.66</v>
      </c>
      <c r="AC11" s="2">
        <v>2.99</v>
      </c>
      <c r="AD11" s="2">
        <v>0.66</v>
      </c>
      <c r="AE11" s="2">
        <v>0.4</v>
      </c>
      <c r="AF11" s="2">
        <v>6.97</v>
      </c>
      <c r="AG11" s="13">
        <v>8.39</v>
      </c>
      <c r="AN11" s="2">
        <f>AVERAGE(P11,R11,T11)</f>
        <v>0.89666666666666661</v>
      </c>
      <c r="AO11" s="2">
        <f>AVERAGE(Q11,S11,U11)</f>
        <v>0.8833333333333333</v>
      </c>
      <c r="AP11" s="2">
        <f>AVERAGE(V11,Z11,AD11)</f>
        <v>0.74333333333333329</v>
      </c>
      <c r="AQ11" s="2">
        <f>AVERAGE(W11,AA11,AE11)</f>
        <v>0.52333333333333332</v>
      </c>
      <c r="AR11" s="2">
        <f>AVERAGE(X11,AB11,AF11)</f>
        <v>4.88</v>
      </c>
      <c r="AS11" s="2">
        <f>AVERAGE(Y11,AC11,AG11)</f>
        <v>4.9133333333333331</v>
      </c>
      <c r="AT11" s="2">
        <f t="shared" si="0"/>
        <v>1.2666666666666666</v>
      </c>
      <c r="AU11" s="2">
        <f t="shared" si="1"/>
        <v>9.793333333333333</v>
      </c>
      <c r="AV11" s="2" t="e">
        <f>AVERAGE(AH11,AJ11,AL11)</f>
        <v>#DIV/0!</v>
      </c>
      <c r="AW11" s="2" t="e">
        <f>AVERAGE(AI11,AK11,AM11)</f>
        <v>#DIV/0!</v>
      </c>
    </row>
    <row r="12" spans="1:49" x14ac:dyDescent="0.3">
      <c r="A12" s="4" t="s">
        <v>176</v>
      </c>
      <c r="B12" s="2" t="s">
        <v>177</v>
      </c>
      <c r="C12" s="2" t="s">
        <v>179</v>
      </c>
      <c r="D12" s="1" t="s">
        <v>46</v>
      </c>
      <c r="E12" s="2" t="s">
        <v>186</v>
      </c>
      <c r="F12" s="2" t="s">
        <v>178</v>
      </c>
      <c r="G12" s="2" t="s">
        <v>183</v>
      </c>
      <c r="H12" s="1">
        <v>154</v>
      </c>
      <c r="I12" s="1" t="s">
        <v>206</v>
      </c>
      <c r="J12" s="1"/>
      <c r="K12" s="1">
        <v>-2.2777719470000002</v>
      </c>
      <c r="L12" s="1">
        <v>1.055778608</v>
      </c>
      <c r="M12" s="1">
        <v>3.9000469999999998E-3</v>
      </c>
      <c r="N12" s="1">
        <v>3</v>
      </c>
      <c r="O12" s="2" t="s">
        <v>250</v>
      </c>
      <c r="P12" s="17">
        <v>0.87</v>
      </c>
      <c r="Q12" s="2">
        <v>0.87</v>
      </c>
      <c r="R12" s="2">
        <v>0.88</v>
      </c>
      <c r="S12" s="2">
        <v>0.88</v>
      </c>
      <c r="T12" s="2">
        <v>0.87</v>
      </c>
      <c r="U12" s="2">
        <v>0.87</v>
      </c>
      <c r="V12" s="2">
        <v>0.63</v>
      </c>
      <c r="W12" s="2">
        <v>0.38</v>
      </c>
      <c r="X12" s="2">
        <v>7.16</v>
      </c>
      <c r="Y12" s="2">
        <v>9.7100000000000009</v>
      </c>
      <c r="Z12" s="2">
        <v>0.65</v>
      </c>
      <c r="AA12" s="2">
        <v>0.42</v>
      </c>
      <c r="AB12" s="2">
        <v>6.58</v>
      </c>
      <c r="AC12" s="2">
        <v>9.1</v>
      </c>
      <c r="AD12" s="2">
        <v>0.59</v>
      </c>
      <c r="AE12" s="2">
        <v>0.35</v>
      </c>
      <c r="AF12" s="2">
        <v>8.5</v>
      </c>
      <c r="AG12" s="13">
        <v>10.02</v>
      </c>
      <c r="AN12" s="2">
        <f>AVERAGE(P12,R12,T12)</f>
        <v>0.87333333333333341</v>
      </c>
      <c r="AO12" s="2">
        <f>AVERAGE(Q12,S12,U12)</f>
        <v>0.87333333333333341</v>
      </c>
      <c r="AP12" s="2">
        <f>AVERAGE(V12,Z12,AD12)</f>
        <v>0.62333333333333341</v>
      </c>
      <c r="AQ12" s="2">
        <f>AVERAGE(W12,AA12,AE12)</f>
        <v>0.3833333333333333</v>
      </c>
      <c r="AR12" s="2">
        <f>AVERAGE(X12,AB12,AF12)</f>
        <v>7.413333333333334</v>
      </c>
      <c r="AS12" s="2">
        <f>AVERAGE(Y12,AC12,AG12)</f>
        <v>9.6100000000000012</v>
      </c>
      <c r="AT12" s="2">
        <f t="shared" si="0"/>
        <v>1.0066666666666668</v>
      </c>
      <c r="AU12" s="2">
        <f t="shared" si="1"/>
        <v>17.023333333333333</v>
      </c>
      <c r="AV12" s="2" t="e">
        <f>AVERAGE(AH12,AJ12,AL12)</f>
        <v>#DIV/0!</v>
      </c>
      <c r="AW12" s="2" t="e">
        <f>AVERAGE(AI12,AK12,AM12)</f>
        <v>#DIV/0!</v>
      </c>
    </row>
    <row r="13" spans="1:49" x14ac:dyDescent="0.3">
      <c r="A13" s="4" t="s">
        <v>176</v>
      </c>
      <c r="B13" s="2" t="s">
        <v>177</v>
      </c>
      <c r="C13" s="2" t="s">
        <v>179</v>
      </c>
      <c r="D13" s="1" t="s">
        <v>47</v>
      </c>
      <c r="E13" s="2" t="s">
        <v>186</v>
      </c>
      <c r="F13" s="2" t="s">
        <v>178</v>
      </c>
      <c r="G13" s="2" t="s">
        <v>183</v>
      </c>
      <c r="H13" s="1">
        <v>161</v>
      </c>
      <c r="I13" s="2" t="s">
        <v>211</v>
      </c>
      <c r="J13" s="6">
        <v>5011</v>
      </c>
      <c r="K13" s="6">
        <v>-0.74482462900000002</v>
      </c>
      <c r="L13" s="1">
        <v>-0.722300952</v>
      </c>
      <c r="M13" s="1">
        <v>3.7092602000000002E-2</v>
      </c>
      <c r="N13" s="1">
        <v>3</v>
      </c>
      <c r="O13" s="2" t="s">
        <v>250</v>
      </c>
      <c r="P13" s="17">
        <v>0.86</v>
      </c>
      <c r="Q13" s="2">
        <v>0.88</v>
      </c>
      <c r="R13" s="2">
        <v>0.89</v>
      </c>
      <c r="S13" s="2">
        <v>0.88</v>
      </c>
      <c r="T13" s="2">
        <v>0.9</v>
      </c>
      <c r="U13" s="2">
        <v>0.89</v>
      </c>
      <c r="V13" s="2">
        <v>0.53</v>
      </c>
      <c r="W13" s="2">
        <v>0.3</v>
      </c>
      <c r="X13" s="2">
        <v>9.86</v>
      </c>
      <c r="Y13" s="2">
        <v>10.99</v>
      </c>
      <c r="Z13" s="2">
        <v>0.75</v>
      </c>
      <c r="AA13" s="2">
        <v>0.53</v>
      </c>
      <c r="AB13" s="2">
        <v>3.91</v>
      </c>
      <c r="AC13" s="2">
        <v>3.8</v>
      </c>
      <c r="AD13" s="2">
        <v>0.8</v>
      </c>
      <c r="AE13" s="2">
        <v>0.57999999999999996</v>
      </c>
      <c r="AF13" s="2">
        <v>3.08</v>
      </c>
      <c r="AG13" s="13">
        <v>2.95</v>
      </c>
      <c r="AN13" s="2">
        <f>AVERAGE(P13,R13,T13)</f>
        <v>0.8833333333333333</v>
      </c>
      <c r="AO13" s="2">
        <f>AVERAGE(Q13,S13,U13)</f>
        <v>0.8833333333333333</v>
      </c>
      <c r="AP13" s="2">
        <f>AVERAGE(V13,Z13,AD13)</f>
        <v>0.69333333333333336</v>
      </c>
      <c r="AQ13" s="2">
        <f>AVERAGE(W13,AA13,AE13)</f>
        <v>0.47000000000000003</v>
      </c>
      <c r="AR13" s="2">
        <f>AVERAGE(X13,AB13,AF13)</f>
        <v>5.6166666666666671</v>
      </c>
      <c r="AS13" s="2">
        <f>AVERAGE(Y13,AC13,AG13)</f>
        <v>5.9133333333333331</v>
      </c>
      <c r="AT13" s="2">
        <f t="shared" si="0"/>
        <v>1.1633333333333333</v>
      </c>
      <c r="AU13" s="2">
        <f t="shared" si="1"/>
        <v>11.530000000000001</v>
      </c>
      <c r="AV13" s="2" t="e">
        <f>AVERAGE(AH13,AJ13,AL13)</f>
        <v>#DIV/0!</v>
      </c>
      <c r="AW13" s="2" t="e">
        <f>AVERAGE(AI13,AK13,AM13)</f>
        <v>#DIV/0!</v>
      </c>
    </row>
    <row r="14" spans="1:49" x14ac:dyDescent="0.3">
      <c r="A14" s="4" t="s">
        <v>176</v>
      </c>
      <c r="B14" s="2" t="s">
        <v>177</v>
      </c>
      <c r="C14" s="2" t="s">
        <v>179</v>
      </c>
      <c r="D14" s="1" t="s">
        <v>15</v>
      </c>
      <c r="E14" s="2" t="s">
        <v>186</v>
      </c>
      <c r="F14" s="2" t="s">
        <v>178</v>
      </c>
      <c r="G14" s="2" t="s">
        <v>181</v>
      </c>
      <c r="H14" s="1">
        <v>166</v>
      </c>
      <c r="I14" s="1" t="s">
        <v>206</v>
      </c>
      <c r="J14" s="1"/>
      <c r="K14" s="1">
        <v>5.5481897729999998</v>
      </c>
      <c r="L14" s="1">
        <v>-1.913687554</v>
      </c>
      <c r="M14" s="1">
        <v>1.21E-10</v>
      </c>
      <c r="N14" s="1">
        <v>1</v>
      </c>
      <c r="O14" s="2" t="s">
        <v>248</v>
      </c>
      <c r="P14" s="17">
        <v>0.91</v>
      </c>
      <c r="Q14" s="2">
        <v>0.89</v>
      </c>
      <c r="R14" s="2">
        <v>0.92</v>
      </c>
      <c r="S14" s="2">
        <v>0.89</v>
      </c>
      <c r="T14" s="2">
        <v>0.91</v>
      </c>
      <c r="U14" s="2">
        <v>0.89</v>
      </c>
      <c r="V14" s="2">
        <v>0.87</v>
      </c>
      <c r="W14" s="2">
        <v>0.65</v>
      </c>
      <c r="X14" s="2">
        <v>2.25</v>
      </c>
      <c r="Y14" s="2">
        <v>2.5</v>
      </c>
      <c r="Z14" s="2">
        <v>0.89</v>
      </c>
      <c r="AA14" s="2">
        <v>0.67</v>
      </c>
      <c r="AB14" s="2">
        <v>2.0099999999999998</v>
      </c>
      <c r="AC14" s="2">
        <v>2.2200000000000002</v>
      </c>
      <c r="AD14" s="2">
        <v>0.9</v>
      </c>
      <c r="AE14" s="2">
        <v>0.67</v>
      </c>
      <c r="AF14" s="2">
        <v>2.08</v>
      </c>
      <c r="AG14" s="13">
        <v>2.58</v>
      </c>
      <c r="AN14" s="2">
        <f>AVERAGE(P14,R14,T14)</f>
        <v>0.91333333333333344</v>
      </c>
      <c r="AO14" s="2">
        <f>AVERAGE(Q14,S14,U14)</f>
        <v>0.89</v>
      </c>
      <c r="AP14" s="2">
        <f>AVERAGE(V14,Z14,AD14)</f>
        <v>0.88666666666666671</v>
      </c>
      <c r="AQ14" s="2">
        <f>AVERAGE(W14,AA14,AE14)</f>
        <v>0.66333333333333344</v>
      </c>
      <c r="AR14" s="2">
        <f>AVERAGE(X14,AB14,AF14)</f>
        <v>2.1133333333333333</v>
      </c>
      <c r="AS14" s="2">
        <f>AVERAGE(Y14,AC14,AG14)</f>
        <v>2.4333333333333336</v>
      </c>
      <c r="AT14" s="2">
        <f t="shared" si="0"/>
        <v>1.5500000000000003</v>
      </c>
      <c r="AU14" s="2">
        <f t="shared" si="1"/>
        <v>4.5466666666666669</v>
      </c>
      <c r="AV14" s="2" t="e">
        <f>AVERAGE(AH14,AJ14,AL14)</f>
        <v>#DIV/0!</v>
      </c>
      <c r="AW14" s="2" t="e">
        <f>AVERAGE(AI14,AK14,AM14)</f>
        <v>#DIV/0!</v>
      </c>
    </row>
    <row r="15" spans="1:49" x14ac:dyDescent="0.3">
      <c r="A15" s="4" t="s">
        <v>176</v>
      </c>
      <c r="B15" s="2" t="s">
        <v>177</v>
      </c>
      <c r="C15" s="2" t="s">
        <v>179</v>
      </c>
      <c r="D15" s="1" t="s">
        <v>48</v>
      </c>
      <c r="E15" s="2" t="s">
        <v>186</v>
      </c>
      <c r="F15" s="2" t="s">
        <v>178</v>
      </c>
      <c r="G15" s="2" t="s">
        <v>183</v>
      </c>
      <c r="H15" s="1">
        <v>204</v>
      </c>
      <c r="I15" s="1" t="s">
        <v>206</v>
      </c>
      <c r="J15" s="1"/>
      <c r="K15" s="1">
        <v>-3.0820024909999999</v>
      </c>
      <c r="L15" s="1">
        <v>-0.78529267000000003</v>
      </c>
      <c r="M15" s="1">
        <v>3.775908E-2</v>
      </c>
      <c r="N15" s="1">
        <v>3</v>
      </c>
      <c r="O15" s="2" t="s">
        <v>250</v>
      </c>
      <c r="P15" s="17">
        <v>0.85</v>
      </c>
      <c r="Q15" s="2">
        <v>0.86</v>
      </c>
      <c r="R15" s="2">
        <v>0.82</v>
      </c>
      <c r="S15" s="2">
        <v>0.86</v>
      </c>
      <c r="T15" s="2">
        <v>0.84</v>
      </c>
      <c r="U15" s="2">
        <v>0.86</v>
      </c>
      <c r="V15" s="2">
        <v>0.48</v>
      </c>
      <c r="W15" s="2">
        <v>0.28000000000000003</v>
      </c>
      <c r="X15" s="2">
        <v>11.68</v>
      </c>
      <c r="Y15" s="2">
        <v>10.87</v>
      </c>
      <c r="Z15" s="2">
        <v>0.43</v>
      </c>
      <c r="AA15" s="2">
        <v>0.23</v>
      </c>
      <c r="AB15" s="2">
        <v>12.25</v>
      </c>
      <c r="AC15" s="2">
        <v>12.69</v>
      </c>
      <c r="AD15" s="2">
        <v>0.48</v>
      </c>
      <c r="AE15" s="2">
        <v>0.27</v>
      </c>
      <c r="AF15" s="2">
        <v>10.77</v>
      </c>
      <c r="AG15" s="13">
        <v>11.17</v>
      </c>
      <c r="AN15" s="2">
        <f>AVERAGE(P15,R15,T15)</f>
        <v>0.83666666666666656</v>
      </c>
      <c r="AO15" s="2">
        <f>AVERAGE(Q15,S15,U15)</f>
        <v>0.86</v>
      </c>
      <c r="AP15" s="2">
        <f>AVERAGE(V15,Z15,AD15)</f>
        <v>0.46333333333333332</v>
      </c>
      <c r="AQ15" s="2">
        <f>AVERAGE(W15,AA15,AE15)</f>
        <v>0.26</v>
      </c>
      <c r="AR15" s="2">
        <f>AVERAGE(X15,AB15,AF15)</f>
        <v>11.566666666666668</v>
      </c>
      <c r="AS15" s="2">
        <f>AVERAGE(Y15,AC15,AG15)</f>
        <v>11.576666666666666</v>
      </c>
      <c r="AT15" s="2">
        <f t="shared" si="0"/>
        <v>0.72333333333333338</v>
      </c>
      <c r="AU15" s="2">
        <f t="shared" si="1"/>
        <v>23.143333333333334</v>
      </c>
      <c r="AV15" s="2" t="e">
        <f>AVERAGE(AH15,AJ15,AL15)</f>
        <v>#DIV/0!</v>
      </c>
      <c r="AW15" s="2" t="e">
        <f>AVERAGE(AI15,AK15,AM15)</f>
        <v>#DIV/0!</v>
      </c>
    </row>
    <row r="16" spans="1:49" x14ac:dyDescent="0.3">
      <c r="A16" s="4" t="s">
        <v>176</v>
      </c>
      <c r="B16" s="2" t="s">
        <v>177</v>
      </c>
      <c r="C16" s="2" t="s">
        <v>179</v>
      </c>
      <c r="D16" s="1" t="s">
        <v>49</v>
      </c>
      <c r="E16" s="2" t="s">
        <v>186</v>
      </c>
      <c r="F16" s="2" t="s">
        <v>178</v>
      </c>
      <c r="G16" s="2" t="s">
        <v>183</v>
      </c>
      <c r="H16" s="1">
        <v>218</v>
      </c>
      <c r="I16" s="1" t="s">
        <v>206</v>
      </c>
      <c r="J16" s="1"/>
      <c r="K16" s="1">
        <v>-1.751172766</v>
      </c>
      <c r="L16" s="1">
        <v>1.186540602</v>
      </c>
      <c r="M16" s="1">
        <v>1.73E-6</v>
      </c>
      <c r="N16" s="1">
        <v>3</v>
      </c>
      <c r="O16" s="2" t="s">
        <v>250</v>
      </c>
      <c r="P16" s="17">
        <v>0.85</v>
      </c>
      <c r="Q16" s="2">
        <v>0.86</v>
      </c>
      <c r="R16" s="2">
        <v>0.87</v>
      </c>
      <c r="S16" s="2">
        <v>0.88</v>
      </c>
      <c r="T16" s="2">
        <v>0.87</v>
      </c>
      <c r="U16" s="2">
        <v>0.87</v>
      </c>
      <c r="V16" s="2">
        <v>0.47</v>
      </c>
      <c r="W16" s="2">
        <v>0.24</v>
      </c>
      <c r="X16" s="2">
        <v>10.99</v>
      </c>
      <c r="Y16" s="2">
        <v>11.81</v>
      </c>
      <c r="Z16" s="2">
        <v>0.56000000000000005</v>
      </c>
      <c r="AA16" s="2">
        <v>0.34</v>
      </c>
      <c r="AB16" s="2">
        <v>8.69</v>
      </c>
      <c r="AC16" s="2">
        <v>9.86</v>
      </c>
      <c r="AD16" s="2">
        <v>0.56999999999999995</v>
      </c>
      <c r="AE16" s="2">
        <v>0.33</v>
      </c>
      <c r="AF16" s="2">
        <v>8.85</v>
      </c>
      <c r="AG16" s="13">
        <v>10.49</v>
      </c>
      <c r="AN16" s="2">
        <f>AVERAGE(P16,R16,T16)</f>
        <v>0.86333333333333329</v>
      </c>
      <c r="AO16" s="2">
        <f>AVERAGE(Q16,S16,U16)</f>
        <v>0.87</v>
      </c>
      <c r="AP16" s="2">
        <f>AVERAGE(V16,Z16,AD16)</f>
        <v>0.53333333333333333</v>
      </c>
      <c r="AQ16" s="2">
        <f>AVERAGE(W16,AA16,AE16)</f>
        <v>0.3033333333333334</v>
      </c>
      <c r="AR16" s="2">
        <f>AVERAGE(X16,AB16,AF16)</f>
        <v>9.51</v>
      </c>
      <c r="AS16" s="2">
        <f>AVERAGE(Y16,AC16,AG16)</f>
        <v>10.72</v>
      </c>
      <c r="AT16" s="2">
        <f t="shared" si="0"/>
        <v>0.83666666666666667</v>
      </c>
      <c r="AU16" s="2">
        <f t="shared" si="1"/>
        <v>20.23</v>
      </c>
      <c r="AV16" s="2" t="e">
        <f>AVERAGE(AH16,AJ16,AL16)</f>
        <v>#DIV/0!</v>
      </c>
      <c r="AW16" s="2" t="e">
        <f>AVERAGE(AI16,AK16,AM16)</f>
        <v>#DIV/0!</v>
      </c>
    </row>
    <row r="17" spans="1:49" x14ac:dyDescent="0.3">
      <c r="A17" s="7" t="s">
        <v>176</v>
      </c>
      <c r="B17" s="8" t="s">
        <v>177</v>
      </c>
      <c r="C17" s="8" t="s">
        <v>179</v>
      </c>
      <c r="D17" s="8" t="s">
        <v>179</v>
      </c>
      <c r="E17" s="8" t="s">
        <v>186</v>
      </c>
      <c r="F17" s="8" t="s">
        <v>178</v>
      </c>
      <c r="G17" s="37" t="s">
        <v>179</v>
      </c>
      <c r="H17" s="8">
        <v>236</v>
      </c>
      <c r="I17" s="8" t="s">
        <v>206</v>
      </c>
      <c r="J17" s="8"/>
      <c r="K17" s="8">
        <v>3.2337220000000001E-3</v>
      </c>
      <c r="L17" s="8">
        <v>1.5605380449999999</v>
      </c>
      <c r="M17" s="8">
        <v>6.3399999999999998E-10</v>
      </c>
      <c r="N17" s="8">
        <v>2</v>
      </c>
      <c r="O17" s="8" t="s">
        <v>250</v>
      </c>
      <c r="P17" s="18">
        <v>0.91</v>
      </c>
      <c r="Q17" s="8">
        <v>0.89</v>
      </c>
      <c r="R17" s="8">
        <v>0.91</v>
      </c>
      <c r="S17" s="8">
        <v>0.89</v>
      </c>
      <c r="T17" s="8">
        <v>0.9</v>
      </c>
      <c r="U17" s="8">
        <v>0.88</v>
      </c>
      <c r="V17" s="8">
        <v>0.86</v>
      </c>
      <c r="W17" s="8">
        <v>0.64</v>
      </c>
      <c r="X17" s="8">
        <v>2.65</v>
      </c>
      <c r="Y17" s="8">
        <v>2.89</v>
      </c>
      <c r="Z17" s="8">
        <v>0.85</v>
      </c>
      <c r="AA17" s="8">
        <v>0.63</v>
      </c>
      <c r="AB17" s="8">
        <v>2.5499999999999998</v>
      </c>
      <c r="AC17" s="8">
        <v>2.84</v>
      </c>
      <c r="AD17" s="8">
        <v>0.84</v>
      </c>
      <c r="AE17" s="8">
        <v>0.61</v>
      </c>
      <c r="AF17" s="8">
        <v>2.98</v>
      </c>
      <c r="AG17" s="19">
        <v>3.07</v>
      </c>
      <c r="AH17" s="18"/>
      <c r="AI17" s="8"/>
      <c r="AJ17" s="8"/>
      <c r="AK17" s="8"/>
      <c r="AL17" s="8"/>
      <c r="AM17" s="19"/>
      <c r="AN17" s="2">
        <f>AVERAGE(P17,R17,T17)</f>
        <v>0.90666666666666673</v>
      </c>
      <c r="AO17" s="2">
        <f>AVERAGE(Q17,S17,U17)</f>
        <v>0.88666666666666671</v>
      </c>
      <c r="AP17" s="2">
        <f>AVERAGE(V17,Z17,AD17)</f>
        <v>0.85</v>
      </c>
      <c r="AQ17" s="2">
        <f>AVERAGE(W17,AA17,AE17)</f>
        <v>0.62666666666666659</v>
      </c>
      <c r="AR17" s="2">
        <f>AVERAGE(X17,AB17,AF17)</f>
        <v>2.7266666666666666</v>
      </c>
      <c r="AS17" s="2">
        <f>AVERAGE(Y17,AC17,AG17)</f>
        <v>2.9333333333333336</v>
      </c>
      <c r="AT17" s="2">
        <f t="shared" si="0"/>
        <v>1.4766666666666666</v>
      </c>
      <c r="AU17" s="2">
        <f t="shared" si="1"/>
        <v>5.66</v>
      </c>
      <c r="AV17" s="2" t="e">
        <f>AVERAGE(AH17,AJ17,AL17)</f>
        <v>#DIV/0!</v>
      </c>
      <c r="AW17" s="2" t="e">
        <f>AVERAGE(AI17,AK17,AM17)</f>
        <v>#DIV/0!</v>
      </c>
    </row>
    <row r="18" spans="1:49" x14ac:dyDescent="0.3">
      <c r="A18" s="4" t="s">
        <v>176</v>
      </c>
      <c r="B18" s="2" t="s">
        <v>177</v>
      </c>
      <c r="C18" s="2" t="s">
        <v>179</v>
      </c>
      <c r="D18" s="1" t="s">
        <v>50</v>
      </c>
      <c r="E18" s="2" t="s">
        <v>186</v>
      </c>
      <c r="F18" s="2" t="s">
        <v>178</v>
      </c>
      <c r="G18" s="2" t="s">
        <v>183</v>
      </c>
      <c r="H18" s="1">
        <v>253</v>
      </c>
      <c r="I18" s="1" t="s">
        <v>206</v>
      </c>
      <c r="J18" s="1"/>
      <c r="K18" s="1">
        <v>-1.5722618180000001</v>
      </c>
      <c r="L18" s="1">
        <v>1.1241595680000001</v>
      </c>
      <c r="M18" s="1">
        <v>4.16E-6</v>
      </c>
      <c r="N18" s="1">
        <v>3</v>
      </c>
      <c r="O18" s="2" t="s">
        <v>250</v>
      </c>
      <c r="P18" s="17">
        <v>0.85</v>
      </c>
      <c r="Q18" s="2">
        <v>0.87</v>
      </c>
      <c r="R18" s="2">
        <v>0.88</v>
      </c>
      <c r="S18" s="2">
        <v>0.88</v>
      </c>
      <c r="T18" s="2">
        <v>0.88</v>
      </c>
      <c r="U18" s="2">
        <v>0.87</v>
      </c>
      <c r="V18" s="2">
        <v>0.6</v>
      </c>
      <c r="W18" s="2">
        <v>0.36</v>
      </c>
      <c r="X18" s="2">
        <v>7.24</v>
      </c>
      <c r="Y18" s="2">
        <v>8.98</v>
      </c>
      <c r="Z18" s="2">
        <v>0.59</v>
      </c>
      <c r="AA18" s="2">
        <v>0.36</v>
      </c>
      <c r="AB18" s="2">
        <v>7.77</v>
      </c>
      <c r="AC18" s="2">
        <v>9.3800000000000008</v>
      </c>
      <c r="AD18" s="2">
        <v>0.54</v>
      </c>
      <c r="AE18" s="2">
        <v>0.32</v>
      </c>
      <c r="AF18" s="2">
        <v>9.8000000000000007</v>
      </c>
      <c r="AG18" s="13">
        <v>10.24</v>
      </c>
      <c r="AN18" s="2">
        <f>AVERAGE(P18,R18,T18)</f>
        <v>0.87</v>
      </c>
      <c r="AO18" s="2">
        <f>AVERAGE(Q18,S18,U18)</f>
        <v>0.87333333333333341</v>
      </c>
      <c r="AP18" s="2">
        <f>AVERAGE(V18,Z18,AD18)</f>
        <v>0.57666666666666666</v>
      </c>
      <c r="AQ18" s="2">
        <f>AVERAGE(W18,AA18,AE18)</f>
        <v>0.34666666666666668</v>
      </c>
      <c r="AR18" s="2">
        <f>AVERAGE(X18,AB18,AF18)</f>
        <v>8.2700000000000014</v>
      </c>
      <c r="AS18" s="2">
        <f>AVERAGE(Y18,AC18,AG18)</f>
        <v>9.5333333333333332</v>
      </c>
      <c r="AT18" s="2">
        <f t="shared" si="0"/>
        <v>0.92333333333333334</v>
      </c>
      <c r="AU18" s="2">
        <f t="shared" si="1"/>
        <v>17.803333333333335</v>
      </c>
      <c r="AV18" s="2" t="e">
        <f>AVERAGE(AH18,AJ18,AL18)</f>
        <v>#DIV/0!</v>
      </c>
      <c r="AW18" s="2" t="e">
        <f>AVERAGE(AI18,AK18,AM18)</f>
        <v>#DIV/0!</v>
      </c>
    </row>
    <row r="19" spans="1:49" x14ac:dyDescent="0.3">
      <c r="A19" s="4" t="s">
        <v>176</v>
      </c>
      <c r="B19" s="2" t="s">
        <v>177</v>
      </c>
      <c r="C19" s="2" t="s">
        <v>179</v>
      </c>
      <c r="D19" s="1" t="s">
        <v>51</v>
      </c>
      <c r="E19" s="2" t="s">
        <v>186</v>
      </c>
      <c r="F19" s="2" t="s">
        <v>178</v>
      </c>
      <c r="G19" s="2" t="s">
        <v>183</v>
      </c>
      <c r="H19" s="1">
        <v>255</v>
      </c>
      <c r="I19" s="1" t="s">
        <v>206</v>
      </c>
      <c r="J19" s="1"/>
      <c r="K19" s="1">
        <v>-2.2971390409999999</v>
      </c>
      <c r="L19" s="1">
        <v>-0.29092979800000002</v>
      </c>
      <c r="M19" s="1">
        <v>0.50809287700000005</v>
      </c>
      <c r="N19" s="1">
        <v>3</v>
      </c>
      <c r="O19" s="2" t="s">
        <v>250</v>
      </c>
      <c r="P19" s="17">
        <v>0.9</v>
      </c>
      <c r="Q19" s="2">
        <v>0.89</v>
      </c>
      <c r="R19" s="2">
        <v>0.9</v>
      </c>
      <c r="S19" s="2">
        <v>0.89</v>
      </c>
      <c r="T19" s="2">
        <v>0.91</v>
      </c>
      <c r="U19" s="2">
        <v>0.89</v>
      </c>
      <c r="V19" s="2">
        <v>0.79</v>
      </c>
      <c r="W19" s="2">
        <v>0.6</v>
      </c>
      <c r="X19" s="2">
        <v>3.77</v>
      </c>
      <c r="Y19" s="2">
        <v>3.28</v>
      </c>
      <c r="Z19" s="2">
        <v>0.78</v>
      </c>
      <c r="AA19" s="2">
        <v>0.57999999999999996</v>
      </c>
      <c r="AB19" s="2">
        <v>3.3</v>
      </c>
      <c r="AC19" s="2">
        <v>3.16</v>
      </c>
      <c r="AD19" s="2">
        <v>0.76</v>
      </c>
      <c r="AE19" s="2">
        <v>0.57999999999999996</v>
      </c>
      <c r="AF19" s="2">
        <v>3.66</v>
      </c>
      <c r="AG19" s="13">
        <v>3.22</v>
      </c>
      <c r="AN19" s="2">
        <f>AVERAGE(P19,R19,T19)</f>
        <v>0.90333333333333332</v>
      </c>
      <c r="AO19" s="2">
        <f>AVERAGE(Q19,S19,U19)</f>
        <v>0.89</v>
      </c>
      <c r="AP19" s="2">
        <f>AVERAGE(V19,Z19,AD19)</f>
        <v>0.77666666666666673</v>
      </c>
      <c r="AQ19" s="2">
        <f>AVERAGE(W19,AA19,AE19)</f>
        <v>0.58666666666666656</v>
      </c>
      <c r="AR19" s="2">
        <f>AVERAGE(X19,AB19,AF19)</f>
        <v>3.5766666666666667</v>
      </c>
      <c r="AS19" s="2">
        <f>AVERAGE(Y19,AC19,AG19)</f>
        <v>3.22</v>
      </c>
      <c r="AT19" s="2">
        <f t="shared" si="0"/>
        <v>1.3633333333333333</v>
      </c>
      <c r="AU19" s="2">
        <f t="shared" si="1"/>
        <v>6.7966666666666669</v>
      </c>
      <c r="AV19" s="2" t="e">
        <f>AVERAGE(AH19,AJ19,AL19)</f>
        <v>#DIV/0!</v>
      </c>
      <c r="AW19" s="2" t="e">
        <f>AVERAGE(AI19,AK19,AM19)</f>
        <v>#DIV/0!</v>
      </c>
    </row>
    <row r="20" spans="1:49" x14ac:dyDescent="0.3">
      <c r="A20" s="4" t="s">
        <v>176</v>
      </c>
      <c r="B20" s="2" t="s">
        <v>177</v>
      </c>
      <c r="C20" s="2" t="s">
        <v>179</v>
      </c>
      <c r="D20" s="1" t="s">
        <v>16</v>
      </c>
      <c r="E20" s="2" t="s">
        <v>186</v>
      </c>
      <c r="F20" s="2" t="s">
        <v>178</v>
      </c>
      <c r="G20" s="2" t="s">
        <v>181</v>
      </c>
      <c r="H20" s="1">
        <v>264</v>
      </c>
      <c r="I20" s="1" t="s">
        <v>206</v>
      </c>
      <c r="J20" s="1"/>
      <c r="K20" s="1">
        <v>7.0885132479999999</v>
      </c>
      <c r="L20" s="1">
        <v>-2.1900606969999998</v>
      </c>
      <c r="M20" s="1">
        <v>5.3400000000000005E-13</v>
      </c>
      <c r="N20" s="1">
        <v>1</v>
      </c>
      <c r="O20" s="2" t="s">
        <v>248</v>
      </c>
      <c r="P20" s="17">
        <v>0.91</v>
      </c>
      <c r="Q20" s="2">
        <v>0.89</v>
      </c>
      <c r="R20" s="2">
        <v>0.91</v>
      </c>
      <c r="S20" s="2">
        <v>0.89</v>
      </c>
      <c r="T20" s="2">
        <v>0.91</v>
      </c>
      <c r="U20" s="2">
        <v>0.89</v>
      </c>
      <c r="V20" s="2">
        <v>0.88</v>
      </c>
      <c r="W20" s="2">
        <v>0.65</v>
      </c>
      <c r="X20" s="2">
        <v>2.25</v>
      </c>
      <c r="Y20" s="2">
        <v>2.54</v>
      </c>
      <c r="Z20" s="2">
        <v>0.86</v>
      </c>
      <c r="AA20" s="2">
        <v>0.65</v>
      </c>
      <c r="AB20" s="2">
        <v>2.41</v>
      </c>
      <c r="AC20" s="2">
        <v>2.4</v>
      </c>
      <c r="AD20" s="2">
        <v>0.9</v>
      </c>
      <c r="AE20" s="2">
        <v>0.67</v>
      </c>
      <c r="AF20" s="2">
        <v>1.94</v>
      </c>
      <c r="AG20" s="13">
        <v>2.2000000000000002</v>
      </c>
      <c r="AN20" s="2">
        <f>AVERAGE(P20,R20,T20)</f>
        <v>0.91</v>
      </c>
      <c r="AO20" s="2">
        <f>AVERAGE(Q20,S20,U20)</f>
        <v>0.89</v>
      </c>
      <c r="AP20" s="2">
        <f>AVERAGE(V20,Z20,AD20)</f>
        <v>0.88</v>
      </c>
      <c r="AQ20" s="2">
        <f>AVERAGE(W20,AA20,AE20)</f>
        <v>0.65666666666666673</v>
      </c>
      <c r="AR20" s="2">
        <f>AVERAGE(X20,AB20,AF20)</f>
        <v>2.1999999999999997</v>
      </c>
      <c r="AS20" s="2">
        <f>AVERAGE(Y20,AC20,AG20)</f>
        <v>2.38</v>
      </c>
      <c r="AT20" s="2">
        <f t="shared" si="0"/>
        <v>1.5366666666666666</v>
      </c>
      <c r="AU20" s="2">
        <f t="shared" si="1"/>
        <v>4.58</v>
      </c>
      <c r="AV20" s="2" t="e">
        <f>AVERAGE(AH20,AJ20,AL20)</f>
        <v>#DIV/0!</v>
      </c>
      <c r="AW20" s="2" t="e">
        <f>AVERAGE(AI20,AK20,AM20)</f>
        <v>#DIV/0!</v>
      </c>
    </row>
    <row r="21" spans="1:49" x14ac:dyDescent="0.3">
      <c r="A21" s="7" t="s">
        <v>176</v>
      </c>
      <c r="B21" s="8" t="s">
        <v>177</v>
      </c>
      <c r="C21" s="8" t="s">
        <v>179</v>
      </c>
      <c r="D21" s="8" t="s">
        <v>179</v>
      </c>
      <c r="E21" s="8" t="s">
        <v>186</v>
      </c>
      <c r="F21" s="8" t="s">
        <v>178</v>
      </c>
      <c r="G21" s="37" t="s">
        <v>179</v>
      </c>
      <c r="H21" s="8">
        <v>289</v>
      </c>
      <c r="I21" s="8" t="s">
        <v>206</v>
      </c>
      <c r="J21" s="8"/>
      <c r="K21" s="8">
        <v>4.2043162729999999</v>
      </c>
      <c r="L21" s="8">
        <v>-0.93444604899999995</v>
      </c>
      <c r="M21" s="8">
        <v>3.2480790000000001E-3</v>
      </c>
      <c r="N21" s="8">
        <v>2</v>
      </c>
      <c r="O21" s="8" t="s">
        <v>248</v>
      </c>
      <c r="P21" s="18">
        <v>0.88</v>
      </c>
      <c r="Q21" s="8">
        <v>0.88</v>
      </c>
      <c r="R21" s="8">
        <v>0.79</v>
      </c>
      <c r="S21" s="8">
        <v>0.85</v>
      </c>
      <c r="T21" s="8">
        <v>0.91</v>
      </c>
      <c r="U21" s="8">
        <v>0.89</v>
      </c>
      <c r="V21" s="8">
        <v>0.64</v>
      </c>
      <c r="W21" s="8">
        <v>0.4</v>
      </c>
      <c r="X21" s="8">
        <v>6.69</v>
      </c>
      <c r="Y21" s="8">
        <v>8.64</v>
      </c>
      <c r="Z21" s="8">
        <v>0.6</v>
      </c>
      <c r="AA21" s="8">
        <v>0.31</v>
      </c>
      <c r="AB21" s="8">
        <v>7.74</v>
      </c>
      <c r="AC21" s="8">
        <v>11.64</v>
      </c>
      <c r="AD21" s="8">
        <v>0.76</v>
      </c>
      <c r="AE21" s="8">
        <v>0.55000000000000004</v>
      </c>
      <c r="AF21" s="8">
        <v>4.63</v>
      </c>
      <c r="AG21" s="19">
        <v>4.34</v>
      </c>
      <c r="AH21" s="18"/>
      <c r="AI21" s="8"/>
      <c r="AJ21" s="8"/>
      <c r="AK21" s="8"/>
      <c r="AL21" s="8"/>
      <c r="AM21" s="19"/>
      <c r="AN21" s="2">
        <f>AVERAGE(P21,R21,T21)</f>
        <v>0.86</v>
      </c>
      <c r="AO21" s="2">
        <f>AVERAGE(Q21,S21,U21)</f>
        <v>0.87333333333333341</v>
      </c>
      <c r="AP21" s="2">
        <f>AVERAGE(V21,Z21,AD21)</f>
        <v>0.66666666666666663</v>
      </c>
      <c r="AQ21" s="2">
        <f>AVERAGE(W21,AA21,AE21)</f>
        <v>0.42</v>
      </c>
      <c r="AR21" s="2">
        <f>AVERAGE(X21,AB21,AF21)</f>
        <v>6.3533333333333326</v>
      </c>
      <c r="AS21" s="2">
        <f>AVERAGE(Y21,AC21,AG21)</f>
        <v>8.206666666666667</v>
      </c>
      <c r="AT21" s="2">
        <f t="shared" si="0"/>
        <v>1.0866666666666667</v>
      </c>
      <c r="AU21" s="2">
        <f t="shared" si="1"/>
        <v>14.559999999999999</v>
      </c>
      <c r="AV21" s="2" t="e">
        <f>AVERAGE(AH21,AJ21,AL21)</f>
        <v>#DIV/0!</v>
      </c>
      <c r="AW21" s="2" t="e">
        <f>AVERAGE(AI21,AK21,AM21)</f>
        <v>#DIV/0!</v>
      </c>
    </row>
    <row r="22" spans="1:49" x14ac:dyDescent="0.3">
      <c r="A22" s="7" t="s">
        <v>176</v>
      </c>
      <c r="B22" s="8" t="s">
        <v>177</v>
      </c>
      <c r="C22" s="8" t="s">
        <v>179</v>
      </c>
      <c r="D22" s="8" t="s">
        <v>179</v>
      </c>
      <c r="E22" s="8" t="s">
        <v>186</v>
      </c>
      <c r="F22" s="8" t="s">
        <v>178</v>
      </c>
      <c r="G22" s="37" t="s">
        <v>179</v>
      </c>
      <c r="H22" s="8">
        <v>295</v>
      </c>
      <c r="I22" s="8" t="s">
        <v>206</v>
      </c>
      <c r="J22" s="8"/>
      <c r="K22" s="8">
        <v>4.3938823779999998</v>
      </c>
      <c r="L22" s="8">
        <v>-1.394847159</v>
      </c>
      <c r="M22" s="8">
        <v>7.1099999999999997E-6</v>
      </c>
      <c r="N22" s="8">
        <v>2</v>
      </c>
      <c r="O22" s="8" t="s">
        <v>248</v>
      </c>
      <c r="P22" s="18">
        <v>0.91</v>
      </c>
      <c r="Q22" s="8">
        <v>0.89</v>
      </c>
      <c r="R22" s="8">
        <v>0.91</v>
      </c>
      <c r="S22" s="8">
        <v>0.89</v>
      </c>
      <c r="T22" s="8">
        <v>0.91</v>
      </c>
      <c r="U22" s="8">
        <v>0.89</v>
      </c>
      <c r="V22" s="8">
        <v>0.87</v>
      </c>
      <c r="W22" s="8">
        <v>0.65</v>
      </c>
      <c r="X22" s="8">
        <v>2.68</v>
      </c>
      <c r="Y22" s="8">
        <v>2.95</v>
      </c>
      <c r="Z22" s="8">
        <v>0.87</v>
      </c>
      <c r="AA22" s="8">
        <v>0.65</v>
      </c>
      <c r="AB22" s="8">
        <v>2.54</v>
      </c>
      <c r="AC22" s="8">
        <v>3.21</v>
      </c>
      <c r="AD22" s="8">
        <v>0.86</v>
      </c>
      <c r="AE22" s="8">
        <v>0.64</v>
      </c>
      <c r="AF22" s="8">
        <v>2.69</v>
      </c>
      <c r="AG22" s="19">
        <v>3.08</v>
      </c>
      <c r="AH22" s="18"/>
      <c r="AI22" s="8"/>
      <c r="AJ22" s="8"/>
      <c r="AK22" s="8"/>
      <c r="AL22" s="8"/>
      <c r="AM22" s="19"/>
      <c r="AN22" s="2">
        <f>AVERAGE(P22,R22,T22)</f>
        <v>0.91</v>
      </c>
      <c r="AO22" s="2">
        <f>AVERAGE(Q22,S22,U22)</f>
        <v>0.89</v>
      </c>
      <c r="AP22" s="2">
        <f>AVERAGE(V22,Z22,AD22)</f>
        <v>0.8666666666666667</v>
      </c>
      <c r="AQ22" s="2">
        <f>AVERAGE(W22,AA22,AE22)</f>
        <v>0.64666666666666661</v>
      </c>
      <c r="AR22" s="2">
        <f>AVERAGE(X22,AB22,AF22)</f>
        <v>2.6366666666666667</v>
      </c>
      <c r="AS22" s="2">
        <f>AVERAGE(Y22,AC22,AG22)</f>
        <v>3.08</v>
      </c>
      <c r="AT22" s="2">
        <f t="shared" si="0"/>
        <v>1.5133333333333332</v>
      </c>
      <c r="AU22" s="2">
        <f t="shared" si="1"/>
        <v>5.7166666666666668</v>
      </c>
      <c r="AV22" s="2" t="e">
        <f>AVERAGE(AH22,AJ22,AL22)</f>
        <v>#DIV/0!</v>
      </c>
      <c r="AW22" s="2" t="e">
        <f>AVERAGE(AI22,AK22,AM22)</f>
        <v>#DIV/0!</v>
      </c>
    </row>
    <row r="23" spans="1:49" x14ac:dyDescent="0.3">
      <c r="A23" s="4" t="s">
        <v>176</v>
      </c>
      <c r="B23" s="2" t="s">
        <v>177</v>
      </c>
      <c r="C23" s="2" t="s">
        <v>179</v>
      </c>
      <c r="D23" s="1" t="s">
        <v>52</v>
      </c>
      <c r="E23" s="2" t="s">
        <v>186</v>
      </c>
      <c r="F23" s="2" t="s">
        <v>178</v>
      </c>
      <c r="G23" s="2" t="s">
        <v>183</v>
      </c>
      <c r="H23" s="1">
        <v>306</v>
      </c>
      <c r="I23" s="1" t="s">
        <v>206</v>
      </c>
      <c r="J23" s="1"/>
      <c r="K23" s="1">
        <v>-2.8140780209999998</v>
      </c>
      <c r="L23" s="1">
        <v>-0.478170186</v>
      </c>
      <c r="M23" s="1">
        <v>0.21183928799999999</v>
      </c>
      <c r="N23" s="1">
        <v>3</v>
      </c>
      <c r="O23" s="2" t="s">
        <v>250</v>
      </c>
      <c r="P23" s="17">
        <v>0.87</v>
      </c>
      <c r="Q23" s="2">
        <v>0.87</v>
      </c>
      <c r="R23" s="2">
        <v>0.86</v>
      </c>
      <c r="S23" s="2">
        <v>0.87</v>
      </c>
      <c r="T23" s="2">
        <v>0.88</v>
      </c>
      <c r="U23" s="2">
        <v>0.87</v>
      </c>
      <c r="V23" s="2">
        <v>0.59</v>
      </c>
      <c r="W23" s="2">
        <v>0.35</v>
      </c>
      <c r="X23" s="2">
        <v>8.44</v>
      </c>
      <c r="Y23" s="2">
        <v>10.43</v>
      </c>
      <c r="Z23" s="2">
        <v>0.56000000000000005</v>
      </c>
      <c r="AA23" s="2">
        <v>0.35</v>
      </c>
      <c r="AB23" s="2">
        <v>8.4600000000000009</v>
      </c>
      <c r="AC23" s="2">
        <v>10.14</v>
      </c>
      <c r="AD23" s="2">
        <v>0.61</v>
      </c>
      <c r="AE23" s="2">
        <v>0.36</v>
      </c>
      <c r="AF23" s="2">
        <v>8.5500000000000007</v>
      </c>
      <c r="AG23" s="13">
        <v>9.81</v>
      </c>
      <c r="AN23" s="2">
        <f>AVERAGE(P23,R23,T23)</f>
        <v>0.87</v>
      </c>
      <c r="AO23" s="2">
        <f>AVERAGE(Q23,S23,U23)</f>
        <v>0.87</v>
      </c>
      <c r="AP23" s="2">
        <f>AVERAGE(V23,Z23,AD23)</f>
        <v>0.58666666666666656</v>
      </c>
      <c r="AQ23" s="2">
        <f>AVERAGE(W23,AA23,AE23)</f>
        <v>0.35333333333333333</v>
      </c>
      <c r="AR23" s="2">
        <f>AVERAGE(X23,AB23,AF23)</f>
        <v>8.4833333333333325</v>
      </c>
      <c r="AS23" s="2">
        <f>AVERAGE(Y23,AC23,AG23)</f>
        <v>10.126666666666667</v>
      </c>
      <c r="AT23" s="2">
        <f t="shared" si="0"/>
        <v>0.94</v>
      </c>
      <c r="AU23" s="2">
        <f t="shared" si="1"/>
        <v>18.61</v>
      </c>
      <c r="AV23" s="2" t="e">
        <f>AVERAGE(AH23,AJ23,AL23)</f>
        <v>#DIV/0!</v>
      </c>
      <c r="AW23" s="2" t="e">
        <f>AVERAGE(AI23,AK23,AM23)</f>
        <v>#DIV/0!</v>
      </c>
    </row>
    <row r="24" spans="1:49" x14ac:dyDescent="0.3">
      <c r="A24" s="4" t="s">
        <v>176</v>
      </c>
      <c r="B24" s="2" t="s">
        <v>177</v>
      </c>
      <c r="C24" s="2" t="s">
        <v>179</v>
      </c>
      <c r="D24" s="1" t="s">
        <v>53</v>
      </c>
      <c r="E24" s="2" t="s">
        <v>186</v>
      </c>
      <c r="F24" s="2" t="s">
        <v>178</v>
      </c>
      <c r="G24" s="2" t="s">
        <v>183</v>
      </c>
      <c r="H24" s="1">
        <v>321</v>
      </c>
      <c r="I24" s="1" t="s">
        <v>206</v>
      </c>
      <c r="J24" s="1"/>
      <c r="K24" s="1">
        <v>-2.5336655380000002</v>
      </c>
      <c r="L24" s="1">
        <v>-0.30491304000000002</v>
      </c>
      <c r="M24" s="1">
        <v>0.50809287700000005</v>
      </c>
      <c r="N24" s="1">
        <v>3</v>
      </c>
      <c r="O24" s="2" t="s">
        <v>250</v>
      </c>
      <c r="P24" s="17">
        <v>0.84</v>
      </c>
      <c r="Q24" s="2">
        <v>0.87</v>
      </c>
      <c r="R24" s="2">
        <v>0.87</v>
      </c>
      <c r="S24" s="2">
        <v>0.87</v>
      </c>
      <c r="T24" s="2">
        <v>0.8</v>
      </c>
      <c r="U24" s="2">
        <v>0.85</v>
      </c>
      <c r="V24" s="2">
        <v>0.54</v>
      </c>
      <c r="W24" s="2">
        <v>0.28999999999999998</v>
      </c>
      <c r="X24" s="2">
        <v>10.16</v>
      </c>
      <c r="Y24" s="2">
        <v>11.54</v>
      </c>
      <c r="Z24" s="2">
        <v>0.55000000000000004</v>
      </c>
      <c r="AA24" s="2">
        <v>0.3</v>
      </c>
      <c r="AB24" s="2">
        <v>10.47</v>
      </c>
      <c r="AC24" s="2">
        <v>10.210000000000001</v>
      </c>
      <c r="AD24" s="2">
        <v>0.56000000000000005</v>
      </c>
      <c r="AE24" s="2">
        <v>0.28999999999999998</v>
      </c>
      <c r="AF24" s="2">
        <v>9.64</v>
      </c>
      <c r="AG24" s="13">
        <v>12.24</v>
      </c>
      <c r="AN24" s="2">
        <f>AVERAGE(P24,R24,T24)</f>
        <v>0.83666666666666656</v>
      </c>
      <c r="AO24" s="2">
        <f>AVERAGE(Q24,S24,U24)</f>
        <v>0.86333333333333329</v>
      </c>
      <c r="AP24" s="2">
        <f>AVERAGE(V24,Z24,AD24)</f>
        <v>0.55000000000000004</v>
      </c>
      <c r="AQ24" s="2">
        <f>AVERAGE(W24,AA24,AE24)</f>
        <v>0.29333333333333328</v>
      </c>
      <c r="AR24" s="2">
        <f>AVERAGE(X24,AB24,AF24)</f>
        <v>10.090000000000002</v>
      </c>
      <c r="AS24" s="2">
        <f>AVERAGE(Y24,AC24,AG24)</f>
        <v>11.33</v>
      </c>
      <c r="AT24" s="2">
        <f t="shared" si="0"/>
        <v>0.84333333333333327</v>
      </c>
      <c r="AU24" s="2">
        <f t="shared" si="1"/>
        <v>21.42</v>
      </c>
      <c r="AV24" s="2" t="e">
        <f>AVERAGE(AH24,AJ24,AL24)</f>
        <v>#DIV/0!</v>
      </c>
      <c r="AW24" s="2" t="e">
        <f>AVERAGE(AI24,AK24,AM24)</f>
        <v>#DIV/0!</v>
      </c>
    </row>
    <row r="25" spans="1:49" x14ac:dyDescent="0.3">
      <c r="A25" s="4" t="s">
        <v>176</v>
      </c>
      <c r="B25" s="2" t="s">
        <v>177</v>
      </c>
      <c r="C25" s="2" t="s">
        <v>179</v>
      </c>
      <c r="D25" s="1" t="s">
        <v>54</v>
      </c>
      <c r="E25" s="2" t="s">
        <v>186</v>
      </c>
      <c r="F25" s="2" t="s">
        <v>178</v>
      </c>
      <c r="G25" s="2" t="s">
        <v>183</v>
      </c>
      <c r="H25" s="1">
        <v>336</v>
      </c>
      <c r="I25" s="1" t="s">
        <v>206</v>
      </c>
      <c r="J25" s="1"/>
      <c r="K25" s="1">
        <v>-2.0801160680000002</v>
      </c>
      <c r="L25" s="1">
        <v>0.23714369699999999</v>
      </c>
      <c r="M25" s="1">
        <v>0.60168529100000001</v>
      </c>
      <c r="N25" s="1">
        <v>3</v>
      </c>
      <c r="O25" s="2" t="s">
        <v>250</v>
      </c>
      <c r="P25" s="17">
        <v>0.87</v>
      </c>
      <c r="Q25" s="2">
        <v>0.87</v>
      </c>
      <c r="R25" s="2">
        <v>0.86</v>
      </c>
      <c r="S25" s="2">
        <v>0.87</v>
      </c>
      <c r="T25" s="2">
        <v>0.88</v>
      </c>
      <c r="U25" s="2">
        <v>0.88</v>
      </c>
      <c r="V25" s="2">
        <v>0.61</v>
      </c>
      <c r="W25" s="2">
        <v>0.36</v>
      </c>
      <c r="X25" s="2">
        <v>8.18</v>
      </c>
      <c r="Y25" s="2">
        <v>10.36</v>
      </c>
      <c r="Z25" s="2">
        <v>0.63</v>
      </c>
      <c r="AA25" s="2">
        <v>0.39</v>
      </c>
      <c r="AB25" s="2">
        <v>6.9</v>
      </c>
      <c r="AC25" s="2">
        <v>10.19</v>
      </c>
      <c r="AD25" s="2">
        <v>0.68</v>
      </c>
      <c r="AE25" s="2">
        <v>0.41</v>
      </c>
      <c r="AF25" s="2">
        <v>5.75</v>
      </c>
      <c r="AG25" s="13">
        <v>8.61</v>
      </c>
      <c r="AN25" s="2">
        <f>AVERAGE(P25,R25,T25)</f>
        <v>0.87</v>
      </c>
      <c r="AO25" s="2">
        <f>AVERAGE(Q25,S25,U25)</f>
        <v>0.87333333333333341</v>
      </c>
      <c r="AP25" s="2">
        <f>AVERAGE(V25,Z25,AD25)</f>
        <v>0.64</v>
      </c>
      <c r="AQ25" s="2">
        <f>AVERAGE(W25,AA25,AE25)</f>
        <v>0.38666666666666666</v>
      </c>
      <c r="AR25" s="2">
        <f>AVERAGE(X25,AB25,AF25)</f>
        <v>6.9433333333333325</v>
      </c>
      <c r="AS25" s="2">
        <f>AVERAGE(Y25,AC25,AG25)</f>
        <v>9.7199999999999989</v>
      </c>
      <c r="AT25" s="2">
        <f t="shared" si="0"/>
        <v>1.0266666666666666</v>
      </c>
      <c r="AU25" s="2">
        <f t="shared" si="1"/>
        <v>16.66333333333333</v>
      </c>
      <c r="AV25" s="2" t="e">
        <f>AVERAGE(AH25,AJ25,AL25)</f>
        <v>#DIV/0!</v>
      </c>
      <c r="AW25" s="2" t="e">
        <f>AVERAGE(AI25,AK25,AM25)</f>
        <v>#DIV/0!</v>
      </c>
    </row>
    <row r="26" spans="1:49" x14ac:dyDescent="0.3">
      <c r="A26" s="4" t="s">
        <v>176</v>
      </c>
      <c r="B26" s="2" t="s">
        <v>177</v>
      </c>
      <c r="C26" s="2" t="s">
        <v>179</v>
      </c>
      <c r="D26" s="1" t="s">
        <v>55</v>
      </c>
      <c r="E26" s="2" t="s">
        <v>186</v>
      </c>
      <c r="F26" s="2" t="s">
        <v>178</v>
      </c>
      <c r="G26" s="2" t="s">
        <v>183</v>
      </c>
      <c r="H26" s="1">
        <v>340</v>
      </c>
      <c r="I26" s="1" t="s">
        <v>206</v>
      </c>
      <c r="J26" s="1"/>
      <c r="K26" s="1">
        <v>-1.8809668429999999</v>
      </c>
      <c r="L26" s="1">
        <v>-0.14391206600000001</v>
      </c>
      <c r="M26" s="1">
        <v>0.71710083899999999</v>
      </c>
      <c r="N26" s="1">
        <v>3</v>
      </c>
      <c r="O26" s="2" t="s">
        <v>250</v>
      </c>
      <c r="P26" s="17">
        <v>0.88</v>
      </c>
      <c r="Q26" s="2">
        <v>0.88</v>
      </c>
      <c r="R26" s="2">
        <v>0.88</v>
      </c>
      <c r="S26" s="2">
        <v>0.88</v>
      </c>
      <c r="T26" s="2">
        <v>0.91</v>
      </c>
      <c r="U26" s="2">
        <v>0.89</v>
      </c>
      <c r="V26" s="2">
        <v>0.64</v>
      </c>
      <c r="W26" s="2">
        <v>0.4</v>
      </c>
      <c r="X26" s="2">
        <v>6.65</v>
      </c>
      <c r="Y26" s="2">
        <v>7.76</v>
      </c>
      <c r="Z26" s="2">
        <v>0.7</v>
      </c>
      <c r="AA26" s="2">
        <v>0.45</v>
      </c>
      <c r="AB26" s="2">
        <v>5.76</v>
      </c>
      <c r="AC26" s="2">
        <v>7.25</v>
      </c>
      <c r="AD26" s="2">
        <v>0.77</v>
      </c>
      <c r="AE26" s="2">
        <v>0.56999999999999995</v>
      </c>
      <c r="AF26" s="2">
        <v>4.25</v>
      </c>
      <c r="AG26" s="13">
        <v>3.24</v>
      </c>
      <c r="AN26" s="2">
        <f>AVERAGE(P26,R26,T26)</f>
        <v>0.89</v>
      </c>
      <c r="AO26" s="2">
        <f>AVERAGE(Q26,S26,U26)</f>
        <v>0.8833333333333333</v>
      </c>
      <c r="AP26" s="2">
        <f>AVERAGE(V26,Z26,AD26)</f>
        <v>0.70333333333333325</v>
      </c>
      <c r="AQ26" s="2">
        <f>AVERAGE(W26,AA26,AE26)</f>
        <v>0.47333333333333333</v>
      </c>
      <c r="AR26" s="2">
        <f>AVERAGE(X26,AB26,AF26)</f>
        <v>5.5533333333333337</v>
      </c>
      <c r="AS26" s="2">
        <f>AVERAGE(Y26,AC26,AG26)</f>
        <v>6.083333333333333</v>
      </c>
      <c r="AT26" s="2">
        <f t="shared" si="0"/>
        <v>1.1766666666666665</v>
      </c>
      <c r="AU26" s="2">
        <f t="shared" si="1"/>
        <v>11.636666666666667</v>
      </c>
      <c r="AV26" s="2" t="e">
        <f>AVERAGE(AH26,AJ26,AL26)</f>
        <v>#DIV/0!</v>
      </c>
      <c r="AW26" s="2" t="e">
        <f>AVERAGE(AI26,AK26,AM26)</f>
        <v>#DIV/0!</v>
      </c>
    </row>
    <row r="27" spans="1:49" x14ac:dyDescent="0.3">
      <c r="A27" s="4" t="s">
        <v>176</v>
      </c>
      <c r="B27" s="2" t="s">
        <v>177</v>
      </c>
      <c r="C27" s="2" t="s">
        <v>179</v>
      </c>
      <c r="D27" s="1" t="s">
        <v>56</v>
      </c>
      <c r="E27" s="2" t="s">
        <v>186</v>
      </c>
      <c r="F27" s="2" t="s">
        <v>178</v>
      </c>
      <c r="G27" s="2" t="s">
        <v>183</v>
      </c>
      <c r="H27" s="1">
        <v>359</v>
      </c>
      <c r="I27" s="1" t="s">
        <v>206</v>
      </c>
      <c r="J27" s="1"/>
      <c r="K27" s="1">
        <v>-1.5831751620000001</v>
      </c>
      <c r="L27" s="1">
        <v>-0.53482370700000004</v>
      </c>
      <c r="M27" s="1">
        <v>0.14088175999999999</v>
      </c>
      <c r="N27" s="1">
        <v>3</v>
      </c>
      <c r="O27" s="2" t="s">
        <v>250</v>
      </c>
      <c r="P27" s="17">
        <v>0.87</v>
      </c>
      <c r="Q27" s="2">
        <v>0.87</v>
      </c>
      <c r="R27" s="2">
        <v>0.89</v>
      </c>
      <c r="S27" s="2">
        <v>0.88</v>
      </c>
      <c r="T27" s="2">
        <v>0.88</v>
      </c>
      <c r="U27" s="2">
        <v>0.87</v>
      </c>
      <c r="V27" s="2">
        <v>0.6</v>
      </c>
      <c r="W27" s="2">
        <v>0.36</v>
      </c>
      <c r="X27" s="2">
        <v>7.21</v>
      </c>
      <c r="Y27" s="2">
        <v>10.43</v>
      </c>
      <c r="Z27" s="2">
        <v>0.7</v>
      </c>
      <c r="AA27" s="2">
        <v>0.45</v>
      </c>
      <c r="AB27" s="2">
        <v>6.06</v>
      </c>
      <c r="AC27" s="2">
        <v>7.07</v>
      </c>
      <c r="AD27" s="2">
        <v>0.6</v>
      </c>
      <c r="AE27" s="2">
        <v>0.36</v>
      </c>
      <c r="AF27" s="2">
        <v>7.99</v>
      </c>
      <c r="AG27" s="13">
        <v>10.42</v>
      </c>
      <c r="AN27" s="2">
        <f>AVERAGE(P27,R27,T27)</f>
        <v>0.88</v>
      </c>
      <c r="AO27" s="2">
        <f>AVERAGE(Q27,S27,U27)</f>
        <v>0.87333333333333341</v>
      </c>
      <c r="AP27" s="2">
        <f>AVERAGE(V27,Z27,AD27)</f>
        <v>0.6333333333333333</v>
      </c>
      <c r="AQ27" s="2">
        <f>AVERAGE(W27,AA27,AE27)</f>
        <v>0.38999999999999996</v>
      </c>
      <c r="AR27" s="2">
        <f>AVERAGE(X27,AB27,AF27)</f>
        <v>7.086666666666666</v>
      </c>
      <c r="AS27" s="2">
        <f>AVERAGE(Y27,AC27,AG27)</f>
        <v>9.3066666666666666</v>
      </c>
      <c r="AT27" s="2">
        <f t="shared" si="0"/>
        <v>1.0233333333333332</v>
      </c>
      <c r="AU27" s="2">
        <f t="shared" si="1"/>
        <v>16.393333333333331</v>
      </c>
      <c r="AV27" s="2" t="e">
        <f>AVERAGE(AH27,AJ27,AL27)</f>
        <v>#DIV/0!</v>
      </c>
      <c r="AW27" s="2" t="e">
        <f>AVERAGE(AI27,AK27,AM27)</f>
        <v>#DIV/0!</v>
      </c>
    </row>
    <row r="28" spans="1:49" x14ac:dyDescent="0.3">
      <c r="A28" s="4" t="s">
        <v>176</v>
      </c>
      <c r="B28" s="2" t="s">
        <v>177</v>
      </c>
      <c r="C28" s="2" t="s">
        <v>179</v>
      </c>
      <c r="D28" s="1" t="s">
        <v>57</v>
      </c>
      <c r="E28" s="2" t="s">
        <v>186</v>
      </c>
      <c r="F28" s="2" t="s">
        <v>178</v>
      </c>
      <c r="G28" s="2" t="s">
        <v>183</v>
      </c>
      <c r="H28" s="1">
        <v>361</v>
      </c>
      <c r="I28" s="1" t="s">
        <v>206</v>
      </c>
      <c r="J28" s="1"/>
      <c r="K28" s="1">
        <v>-2.3978330429999999</v>
      </c>
      <c r="L28" s="1">
        <v>0.22046582000000001</v>
      </c>
      <c r="M28" s="1">
        <v>0.62149994799999997</v>
      </c>
      <c r="N28" s="1">
        <v>3</v>
      </c>
      <c r="O28" s="2" t="s">
        <v>250</v>
      </c>
      <c r="P28" s="17">
        <v>0.88</v>
      </c>
      <c r="Q28" s="2">
        <v>0.88</v>
      </c>
      <c r="R28" s="2">
        <v>0.86</v>
      </c>
      <c r="S28" s="2">
        <v>0.87</v>
      </c>
      <c r="T28" s="2">
        <v>0.87</v>
      </c>
      <c r="U28" s="2">
        <v>0.87</v>
      </c>
      <c r="V28" s="2">
        <v>0.71</v>
      </c>
      <c r="W28" s="2">
        <v>0.44</v>
      </c>
      <c r="X28" s="2">
        <v>5.54</v>
      </c>
      <c r="Y28" s="2">
        <v>7.71</v>
      </c>
      <c r="Z28" s="2">
        <v>0.68</v>
      </c>
      <c r="AA28" s="2">
        <v>0.41</v>
      </c>
      <c r="AB28" s="2">
        <v>6.17</v>
      </c>
      <c r="AC28" s="2">
        <v>9.35</v>
      </c>
      <c r="AD28" s="2">
        <v>0.66</v>
      </c>
      <c r="AE28" s="2">
        <v>0.38</v>
      </c>
      <c r="AF28" s="2">
        <v>6.39</v>
      </c>
      <c r="AG28" s="13">
        <v>9.75</v>
      </c>
      <c r="AN28" s="2">
        <f>AVERAGE(P28,R28,T28)</f>
        <v>0.87</v>
      </c>
      <c r="AO28" s="2">
        <f>AVERAGE(Q28,S28,U28)</f>
        <v>0.87333333333333341</v>
      </c>
      <c r="AP28" s="2">
        <f>AVERAGE(V28,Z28,AD28)</f>
        <v>0.68333333333333346</v>
      </c>
      <c r="AQ28" s="2">
        <f>AVERAGE(W28,AA28,AE28)</f>
        <v>0.41</v>
      </c>
      <c r="AR28" s="2">
        <f>AVERAGE(X28,AB28,AF28)</f>
        <v>6.0333333333333341</v>
      </c>
      <c r="AS28" s="2">
        <f>AVERAGE(Y28,AC28,AG28)</f>
        <v>8.9366666666666656</v>
      </c>
      <c r="AT28" s="2">
        <f t="shared" si="0"/>
        <v>1.0933333333333335</v>
      </c>
      <c r="AU28" s="2">
        <f t="shared" si="1"/>
        <v>14.969999999999999</v>
      </c>
      <c r="AV28" s="2" t="e">
        <f>AVERAGE(AH28,AJ28,AL28)</f>
        <v>#DIV/0!</v>
      </c>
      <c r="AW28" s="2" t="e">
        <f>AVERAGE(AI28,AK28,AM28)</f>
        <v>#DIV/0!</v>
      </c>
    </row>
    <row r="29" spans="1:49" x14ac:dyDescent="0.3">
      <c r="A29" s="4" t="s">
        <v>176</v>
      </c>
      <c r="B29" s="2" t="s">
        <v>177</v>
      </c>
      <c r="C29" s="2" t="s">
        <v>179</v>
      </c>
      <c r="D29" s="1" t="s">
        <v>58</v>
      </c>
      <c r="E29" s="2" t="s">
        <v>186</v>
      </c>
      <c r="F29" s="2" t="s">
        <v>178</v>
      </c>
      <c r="G29" s="2" t="s">
        <v>183</v>
      </c>
      <c r="H29" s="1">
        <v>362</v>
      </c>
      <c r="I29" s="1" t="s">
        <v>206</v>
      </c>
      <c r="J29" s="1"/>
      <c r="K29" s="1">
        <v>-1.28713627</v>
      </c>
      <c r="L29" s="1">
        <v>-8.1618584999999994E-2</v>
      </c>
      <c r="M29" s="1">
        <v>0.85734696099999996</v>
      </c>
      <c r="N29" s="1">
        <v>3</v>
      </c>
      <c r="O29" s="2" t="s">
        <v>250</v>
      </c>
      <c r="P29" s="17">
        <v>0.85</v>
      </c>
      <c r="Q29" s="2">
        <v>0.86</v>
      </c>
      <c r="R29" s="2">
        <v>0.84</v>
      </c>
      <c r="S29" s="2">
        <v>0.87</v>
      </c>
      <c r="T29" s="2">
        <v>0.86</v>
      </c>
      <c r="U29" s="2">
        <v>0.86</v>
      </c>
      <c r="V29" s="2">
        <v>0.52</v>
      </c>
      <c r="W29" s="2">
        <v>0.3</v>
      </c>
      <c r="X29" s="2">
        <v>9.42</v>
      </c>
      <c r="Y29" s="2">
        <v>10.29</v>
      </c>
      <c r="Z29" s="2">
        <v>0.47</v>
      </c>
      <c r="AA29" s="2">
        <v>0.27</v>
      </c>
      <c r="AB29" s="2">
        <v>10.45</v>
      </c>
      <c r="AC29" s="2">
        <v>11.45</v>
      </c>
      <c r="AD29" s="2">
        <v>0.49</v>
      </c>
      <c r="AE29" s="2">
        <v>0.27</v>
      </c>
      <c r="AF29" s="2">
        <v>10.42</v>
      </c>
      <c r="AG29" s="13">
        <v>11.45</v>
      </c>
      <c r="AN29" s="2">
        <f>AVERAGE(P29,R29,T29)</f>
        <v>0.85</v>
      </c>
      <c r="AO29" s="2">
        <f>AVERAGE(Q29,S29,U29)</f>
        <v>0.86333333333333329</v>
      </c>
      <c r="AP29" s="2">
        <f>AVERAGE(V29,Z29,AD29)</f>
        <v>0.49333333333333335</v>
      </c>
      <c r="AQ29" s="2">
        <f>AVERAGE(W29,AA29,AE29)</f>
        <v>0.28000000000000003</v>
      </c>
      <c r="AR29" s="2">
        <f>AVERAGE(X29,AB29,AF29)</f>
        <v>10.096666666666666</v>
      </c>
      <c r="AS29" s="2">
        <f>AVERAGE(Y29,AC29,AG29)</f>
        <v>11.063333333333333</v>
      </c>
      <c r="AT29" s="2">
        <f t="shared" si="0"/>
        <v>0.77333333333333343</v>
      </c>
      <c r="AU29" s="2">
        <f t="shared" si="1"/>
        <v>21.159999999999997</v>
      </c>
      <c r="AV29" s="2" t="e">
        <f>AVERAGE(AH29,AJ29,AL29)</f>
        <v>#DIV/0!</v>
      </c>
      <c r="AW29" s="2" t="e">
        <f>AVERAGE(AI29,AK29,AM29)</f>
        <v>#DIV/0!</v>
      </c>
    </row>
    <row r="30" spans="1:49" x14ac:dyDescent="0.3">
      <c r="A30" s="4" t="s">
        <v>176</v>
      </c>
      <c r="B30" s="2" t="s">
        <v>177</v>
      </c>
      <c r="C30" s="2" t="s">
        <v>179</v>
      </c>
      <c r="D30" s="1" t="s">
        <v>59</v>
      </c>
      <c r="E30" s="2" t="s">
        <v>186</v>
      </c>
      <c r="F30" s="2" t="s">
        <v>178</v>
      </c>
      <c r="G30" s="2" t="s">
        <v>183</v>
      </c>
      <c r="H30" s="1">
        <v>373</v>
      </c>
      <c r="I30" s="1" t="s">
        <v>206</v>
      </c>
      <c r="J30" s="1"/>
      <c r="K30" s="1">
        <v>-2.0543343520000001</v>
      </c>
      <c r="L30" s="1">
        <v>0.71545753000000001</v>
      </c>
      <c r="M30" s="1">
        <v>7.1174338000000004E-2</v>
      </c>
      <c r="N30" s="1">
        <v>3</v>
      </c>
      <c r="O30" s="2" t="s">
        <v>250</v>
      </c>
      <c r="P30" s="17">
        <v>0.88</v>
      </c>
      <c r="Q30" s="2">
        <v>0.88</v>
      </c>
      <c r="R30" s="2">
        <v>0.9</v>
      </c>
      <c r="S30" s="2">
        <v>0.89</v>
      </c>
      <c r="T30" s="2">
        <v>0.89</v>
      </c>
      <c r="U30" s="2">
        <v>0.88</v>
      </c>
      <c r="V30" s="2">
        <v>0.66</v>
      </c>
      <c r="W30" s="2">
        <v>0.39</v>
      </c>
      <c r="X30" s="2">
        <v>5.73</v>
      </c>
      <c r="Y30" s="2">
        <v>9.23</v>
      </c>
      <c r="Z30" s="2">
        <v>0.71</v>
      </c>
      <c r="AA30" s="2">
        <v>0.47</v>
      </c>
      <c r="AB30" s="2">
        <v>5.25</v>
      </c>
      <c r="AC30" s="2">
        <v>6.69</v>
      </c>
      <c r="AD30" s="2">
        <v>0.72</v>
      </c>
      <c r="AE30" s="2">
        <v>0.44</v>
      </c>
      <c r="AF30" s="2">
        <v>4.7</v>
      </c>
      <c r="AG30" s="13">
        <v>7.7</v>
      </c>
      <c r="AN30" s="2">
        <f>AVERAGE(P30,R30,T30)</f>
        <v>0.89</v>
      </c>
      <c r="AO30" s="2">
        <f>AVERAGE(Q30,S30,U30)</f>
        <v>0.8833333333333333</v>
      </c>
      <c r="AP30" s="2">
        <f>AVERAGE(V30,Z30,AD30)</f>
        <v>0.69666666666666666</v>
      </c>
      <c r="AQ30" s="2">
        <f>AVERAGE(W30,AA30,AE30)</f>
        <v>0.43333333333333335</v>
      </c>
      <c r="AR30" s="2">
        <f>AVERAGE(X30,AB30,AF30)</f>
        <v>5.2266666666666666</v>
      </c>
      <c r="AS30" s="2">
        <f>AVERAGE(Y30,AC30,AG30)</f>
        <v>7.873333333333334</v>
      </c>
      <c r="AT30" s="2">
        <f t="shared" si="0"/>
        <v>1.1299999999999999</v>
      </c>
      <c r="AU30" s="2">
        <f t="shared" si="1"/>
        <v>13.100000000000001</v>
      </c>
      <c r="AV30" s="2" t="e">
        <f>AVERAGE(AH30,AJ30,AL30)</f>
        <v>#DIV/0!</v>
      </c>
      <c r="AW30" s="2" t="e">
        <f>AVERAGE(AI30,AK30,AM30)</f>
        <v>#DIV/0!</v>
      </c>
    </row>
    <row r="31" spans="1:49" x14ac:dyDescent="0.3">
      <c r="A31" s="4" t="s">
        <v>176</v>
      </c>
      <c r="B31" s="2" t="s">
        <v>177</v>
      </c>
      <c r="C31" s="2" t="s">
        <v>179</v>
      </c>
      <c r="D31" s="1" t="s">
        <v>60</v>
      </c>
      <c r="E31" s="2" t="s">
        <v>186</v>
      </c>
      <c r="F31" s="2" t="s">
        <v>178</v>
      </c>
      <c r="G31" s="2" t="s">
        <v>183</v>
      </c>
      <c r="H31" s="1">
        <v>387</v>
      </c>
      <c r="I31" s="1" t="s">
        <v>206</v>
      </c>
      <c r="J31" s="1"/>
      <c r="K31" s="1">
        <v>-1.698687072</v>
      </c>
      <c r="L31" s="1">
        <v>0.45360177299999999</v>
      </c>
      <c r="M31" s="1">
        <v>0.29494079099999998</v>
      </c>
      <c r="N31" s="1">
        <v>3</v>
      </c>
      <c r="O31" s="2" t="s">
        <v>250</v>
      </c>
      <c r="P31" s="17">
        <v>0.89</v>
      </c>
      <c r="Q31" s="2">
        <v>0.89</v>
      </c>
      <c r="R31" s="2">
        <v>0.91</v>
      </c>
      <c r="S31" s="2">
        <v>0.89</v>
      </c>
      <c r="T31" s="2">
        <v>0.89</v>
      </c>
      <c r="U31" s="2">
        <v>0.88</v>
      </c>
      <c r="V31" s="2">
        <v>0.65</v>
      </c>
      <c r="W31" s="2">
        <v>0.46</v>
      </c>
      <c r="X31" s="2">
        <v>6.45</v>
      </c>
      <c r="Y31" s="2">
        <v>5.73</v>
      </c>
      <c r="Z31" s="2">
        <v>0.77</v>
      </c>
      <c r="AA31" s="2">
        <v>0.57999999999999996</v>
      </c>
      <c r="AB31" s="2">
        <v>3.97</v>
      </c>
      <c r="AC31" s="2">
        <v>3.16</v>
      </c>
      <c r="AD31" s="2">
        <v>0.63</v>
      </c>
      <c r="AE31" s="2">
        <v>0.43</v>
      </c>
      <c r="AF31" s="2">
        <v>6.06</v>
      </c>
      <c r="AG31" s="13">
        <v>5.32</v>
      </c>
      <c r="AN31" s="2">
        <f>AVERAGE(P31,R31,T31)</f>
        <v>0.89666666666666661</v>
      </c>
      <c r="AO31" s="2">
        <f>AVERAGE(Q31,S31,U31)</f>
        <v>0.88666666666666671</v>
      </c>
      <c r="AP31" s="2">
        <f>AVERAGE(V31,Z31,AD31)</f>
        <v>0.68333333333333324</v>
      </c>
      <c r="AQ31" s="2">
        <f>AVERAGE(W31,AA31,AE31)</f>
        <v>0.49</v>
      </c>
      <c r="AR31" s="2">
        <f>AVERAGE(X31,AB31,AF31)</f>
        <v>5.4933333333333332</v>
      </c>
      <c r="AS31" s="2">
        <f>AVERAGE(Y31,AC31,AG31)</f>
        <v>4.7366666666666672</v>
      </c>
      <c r="AT31" s="2">
        <f t="shared" si="0"/>
        <v>1.1733333333333333</v>
      </c>
      <c r="AU31" s="2">
        <f t="shared" si="1"/>
        <v>10.23</v>
      </c>
      <c r="AV31" s="2" t="e">
        <f>AVERAGE(AH31,AJ31,AL31)</f>
        <v>#DIV/0!</v>
      </c>
      <c r="AW31" s="2" t="e">
        <f>AVERAGE(AI31,AK31,AM31)</f>
        <v>#DIV/0!</v>
      </c>
    </row>
    <row r="32" spans="1:49" x14ac:dyDescent="0.3">
      <c r="A32" s="4" t="s">
        <v>176</v>
      </c>
      <c r="B32" s="2" t="s">
        <v>177</v>
      </c>
      <c r="C32" s="2" t="s">
        <v>179</v>
      </c>
      <c r="D32" s="1" t="s">
        <v>61</v>
      </c>
      <c r="E32" s="2" t="s">
        <v>186</v>
      </c>
      <c r="F32" s="2" t="s">
        <v>178</v>
      </c>
      <c r="G32" s="2" t="s">
        <v>183</v>
      </c>
      <c r="H32" s="1">
        <v>397</v>
      </c>
      <c r="I32" s="1" t="s">
        <v>206</v>
      </c>
      <c r="J32" s="1"/>
      <c r="K32" s="1">
        <v>-2.4252269950000001</v>
      </c>
      <c r="L32" s="1">
        <v>0.59912552600000002</v>
      </c>
      <c r="M32" s="1">
        <v>0.15326878599999999</v>
      </c>
      <c r="N32" s="1">
        <v>3</v>
      </c>
      <c r="O32" s="2" t="s">
        <v>250</v>
      </c>
      <c r="P32" s="17">
        <v>0.85</v>
      </c>
      <c r="Q32" s="2">
        <v>0.87</v>
      </c>
      <c r="R32" s="2">
        <v>0.88</v>
      </c>
      <c r="S32" s="2">
        <v>0.88</v>
      </c>
      <c r="T32" s="2">
        <v>0.85</v>
      </c>
      <c r="U32" s="2">
        <v>0.86</v>
      </c>
      <c r="V32" s="2">
        <v>0.45</v>
      </c>
      <c r="W32" s="2">
        <v>0.23</v>
      </c>
      <c r="X32" s="2">
        <v>10.5</v>
      </c>
      <c r="Y32" s="2">
        <v>11.13</v>
      </c>
      <c r="Z32" s="2">
        <v>0.56000000000000005</v>
      </c>
      <c r="AA32" s="2">
        <v>0.33</v>
      </c>
      <c r="AB32" s="2">
        <v>8.1999999999999993</v>
      </c>
      <c r="AC32" s="2">
        <v>8.7899999999999991</v>
      </c>
      <c r="AD32" s="2">
        <v>0.5</v>
      </c>
      <c r="AE32" s="2">
        <v>0.28000000000000003</v>
      </c>
      <c r="AF32" s="2">
        <v>9.4499999999999993</v>
      </c>
      <c r="AG32" s="13">
        <v>11.79</v>
      </c>
      <c r="AN32" s="2">
        <f>AVERAGE(P32,R32,T32)</f>
        <v>0.86</v>
      </c>
      <c r="AO32" s="2">
        <f>AVERAGE(Q32,S32,U32)</f>
        <v>0.87</v>
      </c>
      <c r="AP32" s="2">
        <f>AVERAGE(V32,Z32,AD32)</f>
        <v>0.5033333333333333</v>
      </c>
      <c r="AQ32" s="2">
        <f>AVERAGE(W32,AA32,AE32)</f>
        <v>0.28000000000000003</v>
      </c>
      <c r="AR32" s="2">
        <f>AVERAGE(X32,AB32,AF32)</f>
        <v>9.3833333333333329</v>
      </c>
      <c r="AS32" s="2">
        <f>AVERAGE(Y32,AC32,AG32)</f>
        <v>10.57</v>
      </c>
      <c r="AT32" s="2">
        <f t="shared" si="0"/>
        <v>0.78333333333333333</v>
      </c>
      <c r="AU32" s="2">
        <f t="shared" si="1"/>
        <v>19.953333333333333</v>
      </c>
      <c r="AV32" s="2" t="e">
        <f>AVERAGE(AH32,AJ32,AL32)</f>
        <v>#DIV/0!</v>
      </c>
      <c r="AW32" s="2" t="e">
        <f>AVERAGE(AI32,AK32,AM32)</f>
        <v>#DIV/0!</v>
      </c>
    </row>
    <row r="33" spans="1:49" x14ac:dyDescent="0.3">
      <c r="A33" s="4" t="s">
        <v>176</v>
      </c>
      <c r="B33" s="2" t="s">
        <v>177</v>
      </c>
      <c r="C33" s="2" t="s">
        <v>179</v>
      </c>
      <c r="D33" s="1" t="s">
        <v>62</v>
      </c>
      <c r="E33" s="2" t="s">
        <v>186</v>
      </c>
      <c r="F33" s="2" t="s">
        <v>178</v>
      </c>
      <c r="G33" s="2" t="s">
        <v>183</v>
      </c>
      <c r="H33" s="1">
        <v>435</v>
      </c>
      <c r="I33" s="1" t="s">
        <v>206</v>
      </c>
      <c r="J33" s="1"/>
      <c r="K33" s="1">
        <v>-1.7368305930000001</v>
      </c>
      <c r="L33" s="1">
        <v>-0.32060834900000001</v>
      </c>
      <c r="M33" s="1">
        <v>0.48959507299999999</v>
      </c>
      <c r="N33" s="1">
        <v>3</v>
      </c>
      <c r="O33" s="2" t="s">
        <v>250</v>
      </c>
      <c r="P33" s="17">
        <v>0.88</v>
      </c>
      <c r="Q33" s="2">
        <v>0.88</v>
      </c>
      <c r="R33" s="2">
        <v>0.9</v>
      </c>
      <c r="S33" s="2">
        <v>0.87</v>
      </c>
      <c r="T33" s="2">
        <v>0.88</v>
      </c>
      <c r="U33" s="2">
        <v>0.87</v>
      </c>
      <c r="V33" s="2">
        <v>0.68</v>
      </c>
      <c r="W33" s="2">
        <v>0.43</v>
      </c>
      <c r="X33" s="2">
        <v>5.45</v>
      </c>
      <c r="Y33" s="2">
        <v>8.6999999999999993</v>
      </c>
      <c r="Z33" s="2">
        <v>0.77</v>
      </c>
      <c r="AA33" s="2">
        <v>0.52</v>
      </c>
      <c r="AB33" s="2">
        <v>4.24</v>
      </c>
      <c r="AC33" s="2">
        <v>6.54</v>
      </c>
      <c r="AD33" s="2">
        <v>0.63</v>
      </c>
      <c r="AE33" s="2">
        <v>0.39</v>
      </c>
      <c r="AF33" s="2">
        <v>6.38</v>
      </c>
      <c r="AG33" s="13">
        <v>9.33</v>
      </c>
      <c r="AN33" s="2">
        <f>AVERAGE(P33,R33,T33)</f>
        <v>0.88666666666666671</v>
      </c>
      <c r="AO33" s="2">
        <f>AVERAGE(Q33,S33,U33)</f>
        <v>0.87333333333333341</v>
      </c>
      <c r="AP33" s="2">
        <f>AVERAGE(V33,Z33,AD33)</f>
        <v>0.69333333333333336</v>
      </c>
      <c r="AQ33" s="2">
        <f>AVERAGE(W33,AA33,AE33)</f>
        <v>0.4466666666666666</v>
      </c>
      <c r="AR33" s="2">
        <f>AVERAGE(X33,AB33,AF33)</f>
        <v>5.3566666666666665</v>
      </c>
      <c r="AS33" s="2">
        <f>AVERAGE(Y33,AC33,AG33)</f>
        <v>8.19</v>
      </c>
      <c r="AT33" s="2">
        <f t="shared" si="0"/>
        <v>1.1399999999999999</v>
      </c>
      <c r="AU33" s="2">
        <f t="shared" si="1"/>
        <v>13.546666666666667</v>
      </c>
      <c r="AV33" s="2" t="e">
        <f>AVERAGE(AH33,AJ33,AL33)</f>
        <v>#DIV/0!</v>
      </c>
      <c r="AW33" s="2" t="e">
        <f>AVERAGE(AI33,AK33,AM33)</f>
        <v>#DIV/0!</v>
      </c>
    </row>
    <row r="34" spans="1:49" x14ac:dyDescent="0.3">
      <c r="A34" s="4" t="s">
        <v>176</v>
      </c>
      <c r="B34" s="2" t="s">
        <v>177</v>
      </c>
      <c r="C34" s="2" t="s">
        <v>179</v>
      </c>
      <c r="D34" s="1" t="s">
        <v>63</v>
      </c>
      <c r="E34" s="2" t="s">
        <v>186</v>
      </c>
      <c r="F34" s="2" t="s">
        <v>178</v>
      </c>
      <c r="G34" s="2" t="s">
        <v>183</v>
      </c>
      <c r="H34" s="1">
        <v>445</v>
      </c>
      <c r="I34" s="1" t="s">
        <v>206</v>
      </c>
      <c r="J34" s="1"/>
      <c r="K34" s="1">
        <v>-2.443921472</v>
      </c>
      <c r="L34" s="1">
        <v>-0.24536052</v>
      </c>
      <c r="M34" s="1">
        <v>0.60158655400000005</v>
      </c>
      <c r="N34" s="1">
        <v>3</v>
      </c>
      <c r="O34" s="2" t="s">
        <v>250</v>
      </c>
      <c r="P34" s="17">
        <v>0.87</v>
      </c>
      <c r="Q34" s="2">
        <v>0.87</v>
      </c>
      <c r="R34" s="2">
        <v>0.86</v>
      </c>
      <c r="S34" s="2">
        <v>0.87</v>
      </c>
      <c r="T34" s="2">
        <v>0.87</v>
      </c>
      <c r="U34" s="2">
        <v>0.87</v>
      </c>
      <c r="V34" s="2">
        <v>0.62</v>
      </c>
      <c r="W34" s="2">
        <v>0.37</v>
      </c>
      <c r="X34" s="2">
        <v>7.19</v>
      </c>
      <c r="Y34" s="2">
        <v>9</v>
      </c>
      <c r="Z34" s="2">
        <v>0.65</v>
      </c>
      <c r="AA34" s="2">
        <v>0.41</v>
      </c>
      <c r="AB34" s="2">
        <v>6.65</v>
      </c>
      <c r="AC34" s="2">
        <v>8.89</v>
      </c>
      <c r="AD34" s="2">
        <v>0.59</v>
      </c>
      <c r="AE34" s="2">
        <v>0.35</v>
      </c>
      <c r="AF34" s="2">
        <v>8</v>
      </c>
      <c r="AG34" s="13">
        <v>10.17</v>
      </c>
      <c r="AN34" s="2">
        <f>AVERAGE(P34,R34,T34)</f>
        <v>0.8666666666666667</v>
      </c>
      <c r="AO34" s="2">
        <f>AVERAGE(Q34,S34,U34)</f>
        <v>0.87</v>
      </c>
      <c r="AP34" s="2">
        <f>AVERAGE(V34,Z34,AD34)</f>
        <v>0.62</v>
      </c>
      <c r="AQ34" s="2">
        <f>AVERAGE(W34,AA34,AE34)</f>
        <v>0.37666666666666665</v>
      </c>
      <c r="AR34" s="2">
        <f>AVERAGE(X34,AB34,AF34)</f>
        <v>7.28</v>
      </c>
      <c r="AS34" s="2">
        <f>AVERAGE(Y34,AC34,AG34)</f>
        <v>9.3533333333333335</v>
      </c>
      <c r="AT34" s="2">
        <f t="shared" ref="AT34:AT65" si="2">SUM(AP34:AQ34)</f>
        <v>0.99666666666666659</v>
      </c>
      <c r="AU34" s="2">
        <f t="shared" ref="AU34:AU65" si="3">SUM(AR34:AS34)</f>
        <v>16.633333333333333</v>
      </c>
      <c r="AV34" s="2" t="e">
        <f>AVERAGE(AH34,AJ34,AL34)</f>
        <v>#DIV/0!</v>
      </c>
      <c r="AW34" s="2" t="e">
        <f>AVERAGE(AI34,AK34,AM34)</f>
        <v>#DIV/0!</v>
      </c>
    </row>
    <row r="35" spans="1:49" x14ac:dyDescent="0.3">
      <c r="A35" s="4" t="s">
        <v>176</v>
      </c>
      <c r="B35" s="2" t="s">
        <v>177</v>
      </c>
      <c r="C35" s="2" t="s">
        <v>179</v>
      </c>
      <c r="D35" s="1" t="s">
        <v>64</v>
      </c>
      <c r="E35" s="2" t="s">
        <v>186</v>
      </c>
      <c r="F35" s="2" t="s">
        <v>178</v>
      </c>
      <c r="G35" s="2" t="s">
        <v>183</v>
      </c>
      <c r="H35" s="1">
        <v>447</v>
      </c>
      <c r="I35" s="1" t="s">
        <v>206</v>
      </c>
      <c r="J35" s="1"/>
      <c r="K35" s="1">
        <v>-2.8303386989999999</v>
      </c>
      <c r="L35" s="1">
        <v>3.148498E-3</v>
      </c>
      <c r="M35" s="1">
        <v>0.99798426799999995</v>
      </c>
      <c r="N35" s="1">
        <v>3</v>
      </c>
      <c r="O35" s="2" t="s">
        <v>250</v>
      </c>
      <c r="P35" s="17">
        <v>0.88</v>
      </c>
      <c r="Q35" s="2">
        <v>0.88</v>
      </c>
      <c r="R35" s="2">
        <v>0.89</v>
      </c>
      <c r="S35" s="2">
        <v>0.88</v>
      </c>
      <c r="T35" s="2">
        <v>0.88</v>
      </c>
      <c r="U35" s="2">
        <v>0.87</v>
      </c>
      <c r="V35" s="2">
        <v>0.65</v>
      </c>
      <c r="W35" s="2">
        <v>0.38</v>
      </c>
      <c r="X35" s="2">
        <v>6.65</v>
      </c>
      <c r="Y35" s="2">
        <v>8.69</v>
      </c>
      <c r="Z35" s="2">
        <v>0.67</v>
      </c>
      <c r="AA35" s="2">
        <v>0.43</v>
      </c>
      <c r="AB35" s="2">
        <v>6.86</v>
      </c>
      <c r="AC35" s="2">
        <v>7.56</v>
      </c>
      <c r="AD35" s="2">
        <v>0.6</v>
      </c>
      <c r="AE35" s="2">
        <v>0.34</v>
      </c>
      <c r="AF35" s="2">
        <v>8.33</v>
      </c>
      <c r="AG35" s="13">
        <v>10.32</v>
      </c>
      <c r="AN35" s="2">
        <f>AVERAGE(P35,R35,T35)</f>
        <v>0.8833333333333333</v>
      </c>
      <c r="AO35" s="2">
        <f>AVERAGE(Q35,S35,U35)</f>
        <v>0.87666666666666659</v>
      </c>
      <c r="AP35" s="2">
        <f>AVERAGE(V35,Z35,AD35)</f>
        <v>0.64</v>
      </c>
      <c r="AQ35" s="2">
        <f>AVERAGE(W35,AA35,AE35)</f>
        <v>0.38333333333333336</v>
      </c>
      <c r="AR35" s="2">
        <f>AVERAGE(X35,AB35,AF35)</f>
        <v>7.2800000000000011</v>
      </c>
      <c r="AS35" s="2">
        <f>AVERAGE(Y35,AC35,AG35)</f>
        <v>8.8566666666666674</v>
      </c>
      <c r="AT35" s="2">
        <f t="shared" si="2"/>
        <v>1.0233333333333334</v>
      </c>
      <c r="AU35" s="2">
        <f t="shared" si="3"/>
        <v>16.13666666666667</v>
      </c>
      <c r="AV35" s="2" t="e">
        <f>AVERAGE(AH35,AJ35,AL35)</f>
        <v>#DIV/0!</v>
      </c>
      <c r="AW35" s="2" t="e">
        <f>AVERAGE(AI35,AK35,AM35)</f>
        <v>#DIV/0!</v>
      </c>
    </row>
    <row r="36" spans="1:49" x14ac:dyDescent="0.3">
      <c r="A36" s="4" t="s">
        <v>176</v>
      </c>
      <c r="B36" s="2" t="s">
        <v>177</v>
      </c>
      <c r="C36" s="2" t="s">
        <v>179</v>
      </c>
      <c r="D36" s="1" t="s">
        <v>65</v>
      </c>
      <c r="E36" s="2" t="s">
        <v>186</v>
      </c>
      <c r="F36" s="2" t="s">
        <v>178</v>
      </c>
      <c r="G36" s="2" t="s">
        <v>183</v>
      </c>
      <c r="H36" s="1">
        <v>457</v>
      </c>
      <c r="I36" s="1" t="s">
        <v>206</v>
      </c>
      <c r="J36" s="1"/>
      <c r="K36" s="1">
        <v>-1.9118933119999999</v>
      </c>
      <c r="L36" s="1">
        <v>-0.28811642399999998</v>
      </c>
      <c r="M36" s="1">
        <v>0.51111454099999998</v>
      </c>
      <c r="N36" s="1">
        <v>3</v>
      </c>
      <c r="O36" s="2" t="s">
        <v>250</v>
      </c>
      <c r="P36" s="17">
        <v>0.81</v>
      </c>
      <c r="Q36" s="2">
        <v>0.86</v>
      </c>
      <c r="R36" s="2">
        <v>0.85</v>
      </c>
      <c r="S36" s="2">
        <v>0.87</v>
      </c>
      <c r="T36" s="2">
        <v>0.8</v>
      </c>
      <c r="U36" s="2">
        <v>0.86</v>
      </c>
      <c r="V36" s="2">
        <v>0.43</v>
      </c>
      <c r="W36" s="2">
        <v>0.26</v>
      </c>
      <c r="X36" s="2">
        <v>11.7</v>
      </c>
      <c r="Y36" s="2">
        <v>11.33</v>
      </c>
      <c r="Z36" s="2">
        <v>0.42</v>
      </c>
      <c r="AA36" s="2">
        <v>0.24</v>
      </c>
      <c r="AB36" s="2">
        <v>11.32</v>
      </c>
      <c r="AC36" s="2">
        <v>11.13</v>
      </c>
      <c r="AD36" s="2">
        <v>0.51</v>
      </c>
      <c r="AE36" s="2">
        <v>0.26</v>
      </c>
      <c r="AF36" s="2">
        <v>11.47</v>
      </c>
      <c r="AG36" s="13">
        <v>13.49</v>
      </c>
      <c r="AN36" s="2">
        <f>AVERAGE(P36,R36,T36)</f>
        <v>0.82</v>
      </c>
      <c r="AO36" s="2">
        <f>AVERAGE(Q36,S36,U36)</f>
        <v>0.86333333333333329</v>
      </c>
      <c r="AP36" s="2">
        <f>AVERAGE(V36,Z36,AD36)</f>
        <v>0.45333333333333331</v>
      </c>
      <c r="AQ36" s="2">
        <f>AVERAGE(W36,AA36,AE36)</f>
        <v>0.25333333333333335</v>
      </c>
      <c r="AR36" s="2">
        <f>AVERAGE(X36,AB36,AF36)</f>
        <v>11.496666666666668</v>
      </c>
      <c r="AS36" s="2">
        <f>AVERAGE(Y36,AC36,AG36)</f>
        <v>11.983333333333334</v>
      </c>
      <c r="AT36" s="2">
        <f t="shared" si="2"/>
        <v>0.70666666666666667</v>
      </c>
      <c r="AU36" s="2">
        <f t="shared" si="3"/>
        <v>23.480000000000004</v>
      </c>
      <c r="AV36" s="2" t="e">
        <f>AVERAGE(AH36,AJ36,AL36)</f>
        <v>#DIV/0!</v>
      </c>
      <c r="AW36" s="2" t="e">
        <f>AVERAGE(AI36,AK36,AM36)</f>
        <v>#DIV/0!</v>
      </c>
    </row>
    <row r="37" spans="1:49" x14ac:dyDescent="0.3">
      <c r="A37" s="4" t="s">
        <v>176</v>
      </c>
      <c r="B37" s="2" t="s">
        <v>177</v>
      </c>
      <c r="C37" s="2" t="s">
        <v>179</v>
      </c>
      <c r="D37" s="1" t="s">
        <v>66</v>
      </c>
      <c r="E37" s="2" t="s">
        <v>186</v>
      </c>
      <c r="F37" s="2" t="s">
        <v>178</v>
      </c>
      <c r="G37" s="2" t="s">
        <v>183</v>
      </c>
      <c r="H37" s="1">
        <v>459</v>
      </c>
      <c r="I37" s="1" t="s">
        <v>206</v>
      </c>
      <c r="J37" s="1"/>
      <c r="K37" s="1">
        <v>-2.0482981150000001</v>
      </c>
      <c r="L37" s="1">
        <v>0.50114403500000004</v>
      </c>
      <c r="M37" s="1">
        <v>0.244514489</v>
      </c>
      <c r="N37" s="1">
        <v>3</v>
      </c>
      <c r="O37" s="2" t="s">
        <v>250</v>
      </c>
      <c r="P37" s="17">
        <v>0.85</v>
      </c>
      <c r="Q37" s="2">
        <v>0.87</v>
      </c>
      <c r="R37" s="2">
        <v>0.85</v>
      </c>
      <c r="S37" s="2">
        <v>0.87</v>
      </c>
      <c r="T37" s="2">
        <v>0.87</v>
      </c>
      <c r="U37" s="2">
        <v>0.87</v>
      </c>
      <c r="V37" s="2">
        <v>0.54</v>
      </c>
      <c r="W37" s="2">
        <v>0.28999999999999998</v>
      </c>
      <c r="X37" s="2">
        <v>9.3800000000000008</v>
      </c>
      <c r="Y37" s="2">
        <v>10.43</v>
      </c>
      <c r="Z37" s="2">
        <v>0.52</v>
      </c>
      <c r="AA37" s="2">
        <v>0.3</v>
      </c>
      <c r="AB37" s="2">
        <v>9.11</v>
      </c>
      <c r="AC37" s="2">
        <v>10.28</v>
      </c>
      <c r="AD37" s="2">
        <v>0.56000000000000005</v>
      </c>
      <c r="AE37" s="2">
        <v>0.32</v>
      </c>
      <c r="AF37" s="2">
        <v>8.43</v>
      </c>
      <c r="AG37" s="13">
        <v>11.09</v>
      </c>
      <c r="AN37" s="2">
        <f>AVERAGE(P37,R37,T37)</f>
        <v>0.85666666666666658</v>
      </c>
      <c r="AO37" s="2">
        <f>AVERAGE(Q37,S37,U37)</f>
        <v>0.87</v>
      </c>
      <c r="AP37" s="2">
        <f>AVERAGE(V37,Z37,AD37)</f>
        <v>0.54</v>
      </c>
      <c r="AQ37" s="2">
        <f>AVERAGE(W37,AA37,AE37)</f>
        <v>0.30333333333333329</v>
      </c>
      <c r="AR37" s="2">
        <f>AVERAGE(X37,AB37,AF37)</f>
        <v>8.9733333333333345</v>
      </c>
      <c r="AS37" s="2">
        <f>AVERAGE(Y37,AC37,AG37)</f>
        <v>10.6</v>
      </c>
      <c r="AT37" s="2">
        <f t="shared" si="2"/>
        <v>0.84333333333333327</v>
      </c>
      <c r="AU37" s="2">
        <f t="shared" si="3"/>
        <v>19.573333333333334</v>
      </c>
      <c r="AV37" s="2" t="e">
        <f>AVERAGE(AH37,AJ37,AL37)</f>
        <v>#DIV/0!</v>
      </c>
      <c r="AW37" s="2" t="e">
        <f>AVERAGE(AI37,AK37,AM37)</f>
        <v>#DIV/0!</v>
      </c>
    </row>
    <row r="38" spans="1:49" x14ac:dyDescent="0.3">
      <c r="A38" s="4" t="s">
        <v>176</v>
      </c>
      <c r="B38" s="2" t="s">
        <v>177</v>
      </c>
      <c r="C38" s="2" t="s">
        <v>179</v>
      </c>
      <c r="D38" s="1" t="s">
        <v>67</v>
      </c>
      <c r="E38" s="2" t="s">
        <v>186</v>
      </c>
      <c r="F38" s="2" t="s">
        <v>178</v>
      </c>
      <c r="G38" s="2" t="s">
        <v>183</v>
      </c>
      <c r="H38" s="1">
        <v>467</v>
      </c>
      <c r="I38" s="1" t="s">
        <v>206</v>
      </c>
      <c r="J38" s="1"/>
      <c r="K38" s="1">
        <v>-1.808971178</v>
      </c>
      <c r="L38" s="1">
        <v>0.51586356200000005</v>
      </c>
      <c r="M38" s="1">
        <v>0.23150231900000001</v>
      </c>
      <c r="N38" s="1">
        <v>3</v>
      </c>
      <c r="O38" s="2" t="s">
        <v>250</v>
      </c>
      <c r="P38" s="17">
        <v>0.85</v>
      </c>
      <c r="Q38" s="2">
        <v>0.87</v>
      </c>
      <c r="R38" s="2">
        <v>0.88</v>
      </c>
      <c r="S38" s="2">
        <v>0.88</v>
      </c>
      <c r="T38" s="2">
        <v>0.88</v>
      </c>
      <c r="U38" s="2">
        <v>0.87</v>
      </c>
      <c r="V38" s="2">
        <v>0.39</v>
      </c>
      <c r="W38" s="2">
        <v>0.21</v>
      </c>
      <c r="X38" s="2">
        <v>12.91</v>
      </c>
      <c r="Y38" s="2">
        <v>14.93</v>
      </c>
      <c r="Z38" s="2">
        <v>0.64</v>
      </c>
      <c r="AA38" s="2">
        <v>0.41</v>
      </c>
      <c r="AB38" s="2">
        <v>6.52</v>
      </c>
      <c r="AC38" s="2">
        <v>7.58</v>
      </c>
      <c r="AD38" s="2">
        <v>0.57999999999999996</v>
      </c>
      <c r="AE38" s="2">
        <v>0.34</v>
      </c>
      <c r="AF38" s="2">
        <v>8.25</v>
      </c>
      <c r="AG38" s="13">
        <v>9.33</v>
      </c>
      <c r="AN38" s="2">
        <f>AVERAGE(P38,R38,T38)</f>
        <v>0.87</v>
      </c>
      <c r="AO38" s="2">
        <f>AVERAGE(Q38,S38,U38)</f>
        <v>0.87333333333333341</v>
      </c>
      <c r="AP38" s="2">
        <f>AVERAGE(V38,Z38,AD38)</f>
        <v>0.53666666666666663</v>
      </c>
      <c r="AQ38" s="2">
        <f>AVERAGE(W38,AA38,AE38)</f>
        <v>0.32</v>
      </c>
      <c r="AR38" s="2">
        <f>AVERAGE(X38,AB38,AF38)</f>
        <v>9.2266666666666666</v>
      </c>
      <c r="AS38" s="2">
        <f>AVERAGE(Y38,AC38,AG38)</f>
        <v>10.613333333333332</v>
      </c>
      <c r="AT38" s="2">
        <f t="shared" si="2"/>
        <v>0.85666666666666669</v>
      </c>
      <c r="AU38" s="2">
        <f t="shared" si="3"/>
        <v>19.839999999999996</v>
      </c>
      <c r="AV38" s="2" t="e">
        <f>AVERAGE(AH38,AJ38,AL38)</f>
        <v>#DIV/0!</v>
      </c>
      <c r="AW38" s="2" t="e">
        <f>AVERAGE(AI38,AK38,AM38)</f>
        <v>#DIV/0!</v>
      </c>
    </row>
    <row r="39" spans="1:49" x14ac:dyDescent="0.3">
      <c r="A39" s="7" t="s">
        <v>176</v>
      </c>
      <c r="B39" s="8" t="s">
        <v>177</v>
      </c>
      <c r="C39" s="8" t="s">
        <v>179</v>
      </c>
      <c r="D39" s="8" t="s">
        <v>179</v>
      </c>
      <c r="E39" s="8" t="s">
        <v>186</v>
      </c>
      <c r="F39" s="8" t="s">
        <v>178</v>
      </c>
      <c r="G39" s="37" t="s">
        <v>179</v>
      </c>
      <c r="H39" s="8">
        <v>468</v>
      </c>
      <c r="I39" s="8" t="s">
        <v>206</v>
      </c>
      <c r="J39" s="8"/>
      <c r="K39" s="8">
        <v>4.6481458550000001</v>
      </c>
      <c r="L39" s="8">
        <v>-0.14598699300000001</v>
      </c>
      <c r="M39" s="8">
        <v>0.743751473</v>
      </c>
      <c r="N39" s="8">
        <v>2</v>
      </c>
      <c r="O39" s="8" t="s">
        <v>249</v>
      </c>
      <c r="P39" s="18">
        <v>0.91</v>
      </c>
      <c r="Q39" s="8">
        <v>0.89</v>
      </c>
      <c r="R39" s="8">
        <v>0.91</v>
      </c>
      <c r="S39" s="8">
        <v>0.89</v>
      </c>
      <c r="T39" s="8">
        <v>0.91</v>
      </c>
      <c r="U39" s="8">
        <v>0.89</v>
      </c>
      <c r="V39" s="8">
        <v>0.88</v>
      </c>
      <c r="W39" s="8">
        <v>0.64</v>
      </c>
      <c r="X39" s="8">
        <v>2.4</v>
      </c>
      <c r="Y39" s="8">
        <v>3.11</v>
      </c>
      <c r="Z39" s="8">
        <v>0.86</v>
      </c>
      <c r="AA39" s="8">
        <v>0.64</v>
      </c>
      <c r="AB39" s="8">
        <v>2.3199999999999998</v>
      </c>
      <c r="AC39" s="8">
        <v>2.6</v>
      </c>
      <c r="AD39" s="8">
        <v>0.88</v>
      </c>
      <c r="AE39" s="8">
        <v>0.66</v>
      </c>
      <c r="AF39" s="8">
        <v>2.38</v>
      </c>
      <c r="AG39" s="19">
        <v>2.77</v>
      </c>
      <c r="AH39" s="18"/>
      <c r="AI39" s="8"/>
      <c r="AJ39" s="8"/>
      <c r="AK39" s="8"/>
      <c r="AL39" s="8"/>
      <c r="AM39" s="19"/>
      <c r="AN39" s="2">
        <f>AVERAGE(P39,R39,T39)</f>
        <v>0.91</v>
      </c>
      <c r="AO39" s="2">
        <f>AVERAGE(Q39,S39,U39)</f>
        <v>0.89</v>
      </c>
      <c r="AP39" s="2">
        <f>AVERAGE(V39,Z39,AD39)</f>
        <v>0.87333333333333341</v>
      </c>
      <c r="AQ39" s="2">
        <f>AVERAGE(W39,AA39,AE39)</f>
        <v>0.64666666666666661</v>
      </c>
      <c r="AR39" s="2">
        <f>AVERAGE(X39,AB39,AF39)</f>
        <v>2.3666666666666667</v>
      </c>
      <c r="AS39" s="2">
        <f>AVERAGE(Y39,AC39,AG39)</f>
        <v>2.8266666666666667</v>
      </c>
      <c r="AT39" s="2">
        <f t="shared" si="2"/>
        <v>1.52</v>
      </c>
      <c r="AU39" s="2">
        <f t="shared" si="3"/>
        <v>5.1933333333333334</v>
      </c>
      <c r="AV39" s="2" t="e">
        <f>AVERAGE(AH39,AJ39,AL39)</f>
        <v>#DIV/0!</v>
      </c>
      <c r="AW39" s="2" t="e">
        <f>AVERAGE(AI39,AK39,AM39)</f>
        <v>#DIV/0!</v>
      </c>
    </row>
    <row r="40" spans="1:49" x14ac:dyDescent="0.3">
      <c r="A40" s="7" t="s">
        <v>176</v>
      </c>
      <c r="B40" s="8" t="s">
        <v>177</v>
      </c>
      <c r="C40" s="8" t="s">
        <v>179</v>
      </c>
      <c r="D40" s="8" t="s">
        <v>179</v>
      </c>
      <c r="E40" s="8" t="s">
        <v>186</v>
      </c>
      <c r="F40" s="8" t="s">
        <v>178</v>
      </c>
      <c r="G40" s="37" t="s">
        <v>179</v>
      </c>
      <c r="H40" s="8">
        <v>470</v>
      </c>
      <c r="I40" s="8" t="s">
        <v>206</v>
      </c>
      <c r="J40" s="8"/>
      <c r="K40" s="8">
        <v>5.4752068969999996</v>
      </c>
      <c r="L40" s="8">
        <v>-6.3263396999999999E-2</v>
      </c>
      <c r="M40" s="8">
        <v>0.86246237800000003</v>
      </c>
      <c r="N40" s="8">
        <v>2</v>
      </c>
      <c r="O40" s="8" t="s">
        <v>249</v>
      </c>
      <c r="P40" s="18">
        <v>0.91</v>
      </c>
      <c r="Q40" s="8">
        <v>0.89</v>
      </c>
      <c r="R40" s="8">
        <v>0.72</v>
      </c>
      <c r="S40" s="8">
        <v>0.84</v>
      </c>
      <c r="T40" s="8">
        <v>0.9</v>
      </c>
      <c r="U40" s="8">
        <v>0.89</v>
      </c>
      <c r="V40" s="8">
        <v>0.83</v>
      </c>
      <c r="W40" s="8">
        <v>0.61</v>
      </c>
      <c r="X40" s="8">
        <v>3.47</v>
      </c>
      <c r="Y40" s="8">
        <v>3.49</v>
      </c>
      <c r="Z40" s="8">
        <v>0.63</v>
      </c>
      <c r="AA40" s="8">
        <v>0.3</v>
      </c>
      <c r="AB40" s="8">
        <v>8.5500000000000007</v>
      </c>
      <c r="AC40" s="8">
        <v>12.71</v>
      </c>
      <c r="AD40" s="8">
        <v>0.79</v>
      </c>
      <c r="AE40" s="8">
        <v>0.57999999999999996</v>
      </c>
      <c r="AF40" s="8">
        <v>3.31</v>
      </c>
      <c r="AG40" s="19">
        <v>3.11</v>
      </c>
      <c r="AH40" s="18"/>
      <c r="AI40" s="8"/>
      <c r="AJ40" s="8"/>
      <c r="AK40" s="8"/>
      <c r="AL40" s="8"/>
      <c r="AM40" s="19"/>
      <c r="AN40" s="2">
        <f>AVERAGE(P40,R40,T40)</f>
        <v>0.84333333333333327</v>
      </c>
      <c r="AO40" s="2">
        <f>AVERAGE(Q40,S40,U40)</f>
        <v>0.87333333333333341</v>
      </c>
      <c r="AP40" s="2">
        <f>AVERAGE(V40,Z40,AD40)</f>
        <v>0.75</v>
      </c>
      <c r="AQ40" s="2">
        <f>AVERAGE(W40,AA40,AE40)</f>
        <v>0.49666666666666659</v>
      </c>
      <c r="AR40" s="2">
        <f>AVERAGE(X40,AB40,AF40)</f>
        <v>5.1100000000000003</v>
      </c>
      <c r="AS40" s="2">
        <f>AVERAGE(Y40,AC40,AG40)</f>
        <v>6.4366666666666674</v>
      </c>
      <c r="AT40" s="2">
        <f t="shared" si="2"/>
        <v>1.2466666666666666</v>
      </c>
      <c r="AU40" s="2">
        <f t="shared" si="3"/>
        <v>11.546666666666667</v>
      </c>
      <c r="AV40" s="2" t="e">
        <f>AVERAGE(AH40,AJ40,AL40)</f>
        <v>#DIV/0!</v>
      </c>
      <c r="AW40" s="2" t="e">
        <f>AVERAGE(AI40,AK40,AM40)</f>
        <v>#DIV/0!</v>
      </c>
    </row>
    <row r="41" spans="1:49" x14ac:dyDescent="0.3">
      <c r="A41" s="4" t="s">
        <v>176</v>
      </c>
      <c r="B41" s="2" t="s">
        <v>177</v>
      </c>
      <c r="C41" s="2" t="s">
        <v>179</v>
      </c>
      <c r="D41" s="1" t="s">
        <v>17</v>
      </c>
      <c r="E41" s="2" t="s">
        <v>186</v>
      </c>
      <c r="F41" s="2" t="s">
        <v>178</v>
      </c>
      <c r="G41" s="2" t="s">
        <v>181</v>
      </c>
      <c r="H41" s="1">
        <v>1042</v>
      </c>
      <c r="I41" s="1" t="s">
        <v>206</v>
      </c>
      <c r="J41" s="1"/>
      <c r="K41" s="1">
        <v>2.9128511970000002</v>
      </c>
      <c r="L41" s="1">
        <v>-1.6787480269999999</v>
      </c>
      <c r="M41" s="1">
        <v>1E-8</v>
      </c>
      <c r="N41" s="1">
        <v>1</v>
      </c>
      <c r="O41" s="2" t="s">
        <v>248</v>
      </c>
      <c r="P41" s="17">
        <v>0.91</v>
      </c>
      <c r="Q41" s="2">
        <v>0.89</v>
      </c>
      <c r="R41" s="2">
        <v>0.91</v>
      </c>
      <c r="S41" s="2">
        <v>0.89</v>
      </c>
      <c r="T41" s="2">
        <v>0.91</v>
      </c>
      <c r="U41" s="2">
        <v>0.89</v>
      </c>
      <c r="V41" s="2">
        <v>0.89</v>
      </c>
      <c r="W41" s="2">
        <v>0.66</v>
      </c>
      <c r="X41" s="2">
        <v>2</v>
      </c>
      <c r="Y41" s="2">
        <v>2.29</v>
      </c>
      <c r="Z41" s="2">
        <v>0.89</v>
      </c>
      <c r="AA41" s="2">
        <v>0.67</v>
      </c>
      <c r="AB41" s="2">
        <v>1.85</v>
      </c>
      <c r="AC41" s="2">
        <v>2.15</v>
      </c>
      <c r="AD41" s="2">
        <v>0.88</v>
      </c>
      <c r="AE41" s="2">
        <v>0.65</v>
      </c>
      <c r="AF41" s="2">
        <v>2.29</v>
      </c>
      <c r="AG41" s="13">
        <v>2.73</v>
      </c>
      <c r="AN41" s="2">
        <f>AVERAGE(P41,R41,T41)</f>
        <v>0.91</v>
      </c>
      <c r="AO41" s="2">
        <f>AVERAGE(Q41,S41,U41)</f>
        <v>0.89</v>
      </c>
      <c r="AP41" s="2">
        <f>AVERAGE(V41,Z41,AD41)</f>
        <v>0.88666666666666671</v>
      </c>
      <c r="AQ41" s="2">
        <f>AVERAGE(W41,AA41,AE41)</f>
        <v>0.66</v>
      </c>
      <c r="AR41" s="2">
        <f>AVERAGE(X41,AB41,AF41)</f>
        <v>2.0466666666666669</v>
      </c>
      <c r="AS41" s="2">
        <f>AVERAGE(Y41,AC41,AG41)</f>
        <v>2.39</v>
      </c>
      <c r="AT41" s="2">
        <f t="shared" si="2"/>
        <v>1.5466666666666669</v>
      </c>
      <c r="AU41" s="2">
        <f t="shared" si="3"/>
        <v>4.4366666666666674</v>
      </c>
      <c r="AV41" s="2" t="e">
        <f>AVERAGE(AH41,AJ41,AL41)</f>
        <v>#DIV/0!</v>
      </c>
      <c r="AW41" s="2" t="e">
        <f>AVERAGE(AI41,AK41,AM41)</f>
        <v>#DIV/0!</v>
      </c>
    </row>
    <row r="42" spans="1:49" x14ac:dyDescent="0.3">
      <c r="A42" s="7" t="s">
        <v>176</v>
      </c>
      <c r="B42" s="8" t="s">
        <v>177</v>
      </c>
      <c r="C42" s="8" t="s">
        <v>179</v>
      </c>
      <c r="D42" s="8" t="s">
        <v>179</v>
      </c>
      <c r="E42" s="8" t="s">
        <v>186</v>
      </c>
      <c r="F42" s="8" t="s">
        <v>178</v>
      </c>
      <c r="G42" s="37" t="s">
        <v>179</v>
      </c>
      <c r="H42" s="8">
        <v>1090</v>
      </c>
      <c r="I42" s="8" t="s">
        <v>206</v>
      </c>
      <c r="J42" s="8"/>
      <c r="K42" s="8">
        <v>6.6129784699999998</v>
      </c>
      <c r="L42" s="8">
        <v>-1.8691608630000001</v>
      </c>
      <c r="M42" s="8">
        <v>3.25E-8</v>
      </c>
      <c r="N42" s="8">
        <v>1</v>
      </c>
      <c r="O42" s="8" t="s">
        <v>248</v>
      </c>
      <c r="P42" s="18">
        <v>0.91</v>
      </c>
      <c r="Q42" s="8">
        <v>0.89</v>
      </c>
      <c r="R42" s="8">
        <v>0.91</v>
      </c>
      <c r="S42" s="8">
        <v>0.88</v>
      </c>
      <c r="T42" s="8">
        <v>0.91</v>
      </c>
      <c r="U42" s="8">
        <v>0.89</v>
      </c>
      <c r="V42" s="8">
        <v>0.89</v>
      </c>
      <c r="W42" s="8">
        <v>0.66</v>
      </c>
      <c r="X42" s="8">
        <v>2.19</v>
      </c>
      <c r="Y42" s="8">
        <v>2.4900000000000002</v>
      </c>
      <c r="Z42" s="8">
        <v>0.89</v>
      </c>
      <c r="AA42" s="8">
        <v>0.67</v>
      </c>
      <c r="AB42" s="8">
        <v>2.25</v>
      </c>
      <c r="AC42" s="8">
        <v>2.68</v>
      </c>
      <c r="AD42" s="8">
        <v>0.89</v>
      </c>
      <c r="AE42" s="8">
        <v>0.67</v>
      </c>
      <c r="AF42" s="8">
        <v>2.2999999999999998</v>
      </c>
      <c r="AG42" s="19">
        <v>2.63</v>
      </c>
      <c r="AH42" s="18"/>
      <c r="AI42" s="8"/>
      <c r="AJ42" s="8"/>
      <c r="AK42" s="8"/>
      <c r="AL42" s="8"/>
      <c r="AM42" s="19"/>
      <c r="AN42" s="2">
        <f>AVERAGE(P42,R42,T42)</f>
        <v>0.91</v>
      </c>
      <c r="AO42" s="2">
        <f>AVERAGE(Q42,S42,U42)</f>
        <v>0.88666666666666671</v>
      </c>
      <c r="AP42" s="2">
        <f>AVERAGE(V42,Z42,AD42)</f>
        <v>0.89</v>
      </c>
      <c r="AQ42" s="2">
        <f>AVERAGE(W42,AA42,AE42)</f>
        <v>0.66666666666666663</v>
      </c>
      <c r="AR42" s="2">
        <f>AVERAGE(X42,AB42,AF42)</f>
        <v>2.2466666666666666</v>
      </c>
      <c r="AS42" s="2">
        <f>AVERAGE(Y42,AC42,AG42)</f>
        <v>2.6</v>
      </c>
      <c r="AT42" s="2">
        <f t="shared" si="2"/>
        <v>1.5566666666666666</v>
      </c>
      <c r="AU42" s="2">
        <f t="shared" si="3"/>
        <v>4.8466666666666667</v>
      </c>
      <c r="AV42" s="2" t="e">
        <f>AVERAGE(AH42,AJ42,AL42)</f>
        <v>#DIV/0!</v>
      </c>
      <c r="AW42" s="2" t="e">
        <f>AVERAGE(AI42,AK42,AM42)</f>
        <v>#DIV/0!</v>
      </c>
    </row>
    <row r="43" spans="1:49" x14ac:dyDescent="0.3">
      <c r="A43" s="4" t="s">
        <v>176</v>
      </c>
      <c r="B43" s="2" t="s">
        <v>177</v>
      </c>
      <c r="C43" s="2" t="s">
        <v>179</v>
      </c>
      <c r="D43" s="1" t="s">
        <v>18</v>
      </c>
      <c r="E43" s="2" t="s">
        <v>186</v>
      </c>
      <c r="F43" s="2" t="s">
        <v>178</v>
      </c>
      <c r="G43" s="2" t="s">
        <v>181</v>
      </c>
      <c r="H43" s="1">
        <v>1128</v>
      </c>
      <c r="I43" s="1" t="s">
        <v>206</v>
      </c>
      <c r="J43" s="1"/>
      <c r="K43" s="1">
        <v>4.8540301430000001</v>
      </c>
      <c r="L43" s="1">
        <v>-1.6586402419999999</v>
      </c>
      <c r="M43" s="1">
        <v>1.04E-6</v>
      </c>
      <c r="N43" s="1">
        <v>1</v>
      </c>
      <c r="O43" s="2" t="s">
        <v>248</v>
      </c>
      <c r="P43" s="17">
        <v>0.91</v>
      </c>
      <c r="Q43" s="2">
        <v>0.89</v>
      </c>
      <c r="R43" s="2">
        <v>0.91</v>
      </c>
      <c r="S43" s="2">
        <v>0.89</v>
      </c>
      <c r="T43" s="2">
        <v>0.91</v>
      </c>
      <c r="U43" s="2">
        <v>0.89</v>
      </c>
      <c r="V43" s="2">
        <v>0.89</v>
      </c>
      <c r="W43" s="2">
        <v>0.68</v>
      </c>
      <c r="X43" s="2">
        <v>1.8</v>
      </c>
      <c r="Y43" s="2">
        <v>2.0499999999999998</v>
      </c>
      <c r="Z43" s="2">
        <v>0.9</v>
      </c>
      <c r="AA43" s="2">
        <v>0.68</v>
      </c>
      <c r="AB43" s="2">
        <v>1.83</v>
      </c>
      <c r="AC43" s="2">
        <v>2.15</v>
      </c>
      <c r="AD43" s="2">
        <v>0.89</v>
      </c>
      <c r="AE43" s="2">
        <v>0.67</v>
      </c>
      <c r="AF43" s="2">
        <v>2.0099999999999998</v>
      </c>
      <c r="AG43" s="13">
        <v>2.21</v>
      </c>
      <c r="AN43" s="2">
        <f>AVERAGE(P43,R43,T43)</f>
        <v>0.91</v>
      </c>
      <c r="AO43" s="2">
        <f>AVERAGE(Q43,S43,U43)</f>
        <v>0.89</v>
      </c>
      <c r="AP43" s="2">
        <f>AVERAGE(V43,Z43,AD43)</f>
        <v>0.89333333333333342</v>
      </c>
      <c r="AQ43" s="2">
        <f>AVERAGE(W43,AA43,AE43)</f>
        <v>0.67666666666666675</v>
      </c>
      <c r="AR43" s="2">
        <f>AVERAGE(X43,AB43,AF43)</f>
        <v>1.88</v>
      </c>
      <c r="AS43" s="2">
        <f>AVERAGE(Y43,AC43,AG43)</f>
        <v>2.1366666666666663</v>
      </c>
      <c r="AT43" s="2">
        <f t="shared" si="2"/>
        <v>1.5700000000000003</v>
      </c>
      <c r="AU43" s="2">
        <f t="shared" si="3"/>
        <v>4.0166666666666657</v>
      </c>
      <c r="AV43" s="2" t="e">
        <f>AVERAGE(AH43,AJ43,AL43)</f>
        <v>#DIV/0!</v>
      </c>
      <c r="AW43" s="2" t="e">
        <f>AVERAGE(AI43,AK43,AM43)</f>
        <v>#DIV/0!</v>
      </c>
    </row>
    <row r="44" spans="1:49" x14ac:dyDescent="0.3">
      <c r="A44" s="4" t="s">
        <v>176</v>
      </c>
      <c r="B44" s="2" t="s">
        <v>177</v>
      </c>
      <c r="C44" s="2" t="s">
        <v>179</v>
      </c>
      <c r="D44" s="1" t="s">
        <v>68</v>
      </c>
      <c r="E44" s="2" t="s">
        <v>186</v>
      </c>
      <c r="F44" s="2" t="s">
        <v>178</v>
      </c>
      <c r="G44" s="2" t="s">
        <v>183</v>
      </c>
      <c r="H44" s="1">
        <v>1173</v>
      </c>
      <c r="I44" s="1" t="s">
        <v>207</v>
      </c>
      <c r="J44" s="1"/>
      <c r="K44" s="1">
        <v>-6.1257173280000004</v>
      </c>
      <c r="L44" s="1">
        <v>-0.59222250300000001</v>
      </c>
      <c r="M44" s="1">
        <v>0.15445488299999999</v>
      </c>
      <c r="N44" s="1">
        <v>3</v>
      </c>
      <c r="O44" s="2" t="s">
        <v>250</v>
      </c>
      <c r="P44" s="17">
        <v>0.86</v>
      </c>
      <c r="Q44" s="2">
        <v>0.87</v>
      </c>
      <c r="R44" s="2">
        <v>0.85</v>
      </c>
      <c r="S44" s="2">
        <v>0.86</v>
      </c>
      <c r="T44" s="2">
        <v>0.86</v>
      </c>
      <c r="U44" s="2">
        <v>0.87</v>
      </c>
      <c r="V44" s="2">
        <v>0.59</v>
      </c>
      <c r="W44" s="2">
        <v>0.33</v>
      </c>
      <c r="X44" s="2">
        <v>9.1999999999999993</v>
      </c>
      <c r="Y44" s="2">
        <v>10.88</v>
      </c>
      <c r="Z44" s="2">
        <v>0.63</v>
      </c>
      <c r="AA44" s="2">
        <v>0.35</v>
      </c>
      <c r="AB44" s="2">
        <v>9.02</v>
      </c>
      <c r="AC44" s="2">
        <v>10.09</v>
      </c>
      <c r="AD44" s="2">
        <v>0.56000000000000005</v>
      </c>
      <c r="AE44" s="2">
        <v>0.3</v>
      </c>
      <c r="AF44" s="2">
        <v>9.82</v>
      </c>
      <c r="AG44" s="13">
        <v>11.83</v>
      </c>
      <c r="AN44" s="2">
        <f>AVERAGE(P44,R44,T44)</f>
        <v>0.85666666666666658</v>
      </c>
      <c r="AO44" s="2">
        <f>AVERAGE(Q44,S44,U44)</f>
        <v>0.8666666666666667</v>
      </c>
      <c r="AP44" s="2">
        <f>AVERAGE(V44,Z44,AD44)</f>
        <v>0.59333333333333338</v>
      </c>
      <c r="AQ44" s="2">
        <f>AVERAGE(W44,AA44,AE44)</f>
        <v>0.32666666666666666</v>
      </c>
      <c r="AR44" s="2">
        <f>AVERAGE(X44,AB44,AF44)</f>
        <v>9.3466666666666658</v>
      </c>
      <c r="AS44" s="2">
        <f>AVERAGE(Y44,AC44,AG44)</f>
        <v>10.933333333333332</v>
      </c>
      <c r="AT44" s="2">
        <f t="shared" si="2"/>
        <v>0.92</v>
      </c>
      <c r="AU44" s="2">
        <f t="shared" si="3"/>
        <v>20.279999999999998</v>
      </c>
      <c r="AV44" s="2" t="e">
        <f>AVERAGE(AH44,AJ44,AL44)</f>
        <v>#DIV/0!</v>
      </c>
      <c r="AW44" s="2" t="e">
        <f>AVERAGE(AI44,AK44,AM44)</f>
        <v>#DIV/0!</v>
      </c>
    </row>
    <row r="45" spans="1:49" x14ac:dyDescent="0.3">
      <c r="A45" s="4" t="s">
        <v>176</v>
      </c>
      <c r="B45" s="2" t="s">
        <v>177</v>
      </c>
      <c r="C45" s="2" t="s">
        <v>179</v>
      </c>
      <c r="D45" s="1" t="s">
        <v>19</v>
      </c>
      <c r="E45" s="2" t="s">
        <v>186</v>
      </c>
      <c r="F45" s="2" t="s">
        <v>178</v>
      </c>
      <c r="G45" s="2" t="s">
        <v>181</v>
      </c>
      <c r="H45" s="1">
        <v>1184</v>
      </c>
      <c r="I45" s="1" t="s">
        <v>206</v>
      </c>
      <c r="J45" s="1"/>
      <c r="K45" s="1">
        <v>3.9047497579999999</v>
      </c>
      <c r="L45" s="1">
        <v>-1.47416942</v>
      </c>
      <c r="M45" s="1">
        <v>1.3499999999999999E-5</v>
      </c>
      <c r="N45" s="1">
        <v>1</v>
      </c>
      <c r="O45" s="2" t="s">
        <v>248</v>
      </c>
      <c r="P45" s="17">
        <v>0.91</v>
      </c>
      <c r="Q45" s="2">
        <v>0.89</v>
      </c>
      <c r="R45" s="2">
        <v>0.91</v>
      </c>
      <c r="S45" s="2">
        <v>0.89</v>
      </c>
      <c r="T45" s="2">
        <v>0.91</v>
      </c>
      <c r="U45" s="2">
        <v>0.89</v>
      </c>
      <c r="V45" s="2">
        <v>0.89</v>
      </c>
      <c r="W45" s="2">
        <v>0.67</v>
      </c>
      <c r="X45" s="2">
        <v>1.99</v>
      </c>
      <c r="Y45" s="2">
        <v>2.19</v>
      </c>
      <c r="Z45" s="2">
        <v>0.89</v>
      </c>
      <c r="AA45" s="2">
        <v>0.66</v>
      </c>
      <c r="AB45" s="2">
        <v>1.97</v>
      </c>
      <c r="AC45" s="2">
        <v>2.3199999999999998</v>
      </c>
      <c r="AD45" s="2">
        <v>0.88</v>
      </c>
      <c r="AE45" s="2">
        <v>0.66</v>
      </c>
      <c r="AF45" s="2">
        <v>1.95</v>
      </c>
      <c r="AG45" s="13">
        <v>2.29</v>
      </c>
      <c r="AN45" s="2">
        <f>AVERAGE(P45,R45,T45)</f>
        <v>0.91</v>
      </c>
      <c r="AO45" s="2">
        <f>AVERAGE(Q45,S45,U45)</f>
        <v>0.89</v>
      </c>
      <c r="AP45" s="2">
        <f>AVERAGE(V45,Z45,AD45)</f>
        <v>0.88666666666666671</v>
      </c>
      <c r="AQ45" s="2">
        <f>AVERAGE(W45,AA45,AE45)</f>
        <v>0.66333333333333344</v>
      </c>
      <c r="AR45" s="2">
        <f>AVERAGE(X45,AB45,AF45)</f>
        <v>1.97</v>
      </c>
      <c r="AS45" s="2">
        <f>AVERAGE(Y45,AC45,AG45)</f>
        <v>2.2666666666666666</v>
      </c>
      <c r="AT45" s="2">
        <f t="shared" si="2"/>
        <v>1.5500000000000003</v>
      </c>
      <c r="AU45" s="2">
        <f t="shared" si="3"/>
        <v>4.2366666666666664</v>
      </c>
      <c r="AV45" s="2" t="e">
        <f>AVERAGE(AH45,AJ45,AL45)</f>
        <v>#DIV/0!</v>
      </c>
      <c r="AW45" s="2" t="e">
        <f>AVERAGE(AI45,AK45,AM45)</f>
        <v>#DIV/0!</v>
      </c>
    </row>
    <row r="46" spans="1:49" x14ac:dyDescent="0.3">
      <c r="A46" s="4" t="s">
        <v>176</v>
      </c>
      <c r="B46" s="2" t="s">
        <v>177</v>
      </c>
      <c r="C46" s="2" t="s">
        <v>179</v>
      </c>
      <c r="D46" s="1" t="s">
        <v>20</v>
      </c>
      <c r="E46" s="2" t="s">
        <v>186</v>
      </c>
      <c r="F46" s="2" t="s">
        <v>178</v>
      </c>
      <c r="G46" s="37" t="s">
        <v>181</v>
      </c>
      <c r="H46" s="1">
        <v>1186</v>
      </c>
      <c r="I46" s="1" t="s">
        <v>199</v>
      </c>
      <c r="J46" s="1"/>
      <c r="K46" s="1">
        <v>-1.241072376</v>
      </c>
      <c r="L46" s="1">
        <v>-0.28667103500000002</v>
      </c>
      <c r="M46" s="1">
        <v>0.46262440599999999</v>
      </c>
      <c r="N46" s="1">
        <v>1</v>
      </c>
      <c r="O46" s="2" t="s">
        <v>251</v>
      </c>
      <c r="P46" s="17">
        <v>0.9</v>
      </c>
      <c r="Q46" s="2">
        <v>0.88</v>
      </c>
      <c r="R46" s="2">
        <v>0.9</v>
      </c>
      <c r="S46" s="2">
        <v>0.88</v>
      </c>
      <c r="T46" s="2">
        <v>0.89</v>
      </c>
      <c r="U46" s="2">
        <v>0.88</v>
      </c>
      <c r="V46" s="2">
        <v>0.83</v>
      </c>
      <c r="W46" s="2">
        <v>0.59</v>
      </c>
      <c r="X46" s="2">
        <v>3.58</v>
      </c>
      <c r="Y46" s="2">
        <v>4.1900000000000004</v>
      </c>
      <c r="Z46" s="2">
        <v>0.84</v>
      </c>
      <c r="AA46" s="2">
        <v>0.56999999999999995</v>
      </c>
      <c r="AB46" s="2">
        <v>3.58</v>
      </c>
      <c r="AC46" s="2">
        <v>3.98</v>
      </c>
      <c r="AD46" s="2">
        <v>0.84</v>
      </c>
      <c r="AE46" s="2">
        <v>0.56999999999999995</v>
      </c>
      <c r="AF46" s="2">
        <v>3.63</v>
      </c>
      <c r="AG46" s="13">
        <v>4.22</v>
      </c>
      <c r="AN46" s="2">
        <f>AVERAGE(P46,R46,T46)</f>
        <v>0.89666666666666661</v>
      </c>
      <c r="AO46" s="2">
        <f>AVERAGE(Q46,S46,U46)</f>
        <v>0.88</v>
      </c>
      <c r="AP46" s="2">
        <f>AVERAGE(V46,Z46,AD46)</f>
        <v>0.83666666666666656</v>
      </c>
      <c r="AQ46" s="2">
        <f>AVERAGE(W46,AA46,AE46)</f>
        <v>0.57666666666666666</v>
      </c>
      <c r="AR46" s="2">
        <f>AVERAGE(X46,AB46,AF46)</f>
        <v>3.5966666666666662</v>
      </c>
      <c r="AS46" s="2">
        <f>AVERAGE(Y46,AC46,AG46)</f>
        <v>4.13</v>
      </c>
      <c r="AT46" s="2">
        <f t="shared" si="2"/>
        <v>1.4133333333333331</v>
      </c>
      <c r="AU46" s="2">
        <f t="shared" si="3"/>
        <v>7.7266666666666666</v>
      </c>
      <c r="AV46" s="2" t="e">
        <f>AVERAGE(AH46,AJ46,AL46)</f>
        <v>#DIV/0!</v>
      </c>
      <c r="AW46" s="2" t="e">
        <f>AVERAGE(AI46,AK46,AM46)</f>
        <v>#DIV/0!</v>
      </c>
    </row>
    <row r="47" spans="1:49" x14ac:dyDescent="0.3">
      <c r="A47" s="4" t="s">
        <v>176</v>
      </c>
      <c r="B47" s="2" t="s">
        <v>177</v>
      </c>
      <c r="C47" s="2" t="s">
        <v>179</v>
      </c>
      <c r="D47" s="1" t="s">
        <v>21</v>
      </c>
      <c r="E47" s="2" t="s">
        <v>186</v>
      </c>
      <c r="F47" s="2" t="s">
        <v>178</v>
      </c>
      <c r="G47" s="2" t="s">
        <v>181</v>
      </c>
      <c r="H47" s="1">
        <v>1195</v>
      </c>
      <c r="I47" s="1" t="s">
        <v>206</v>
      </c>
      <c r="J47" s="1"/>
      <c r="K47" s="1">
        <v>8.0071889909999996</v>
      </c>
      <c r="L47" s="1">
        <v>-1.910699819</v>
      </c>
      <c r="M47" s="1">
        <v>4.42E-11</v>
      </c>
      <c r="N47" s="1">
        <v>1</v>
      </c>
      <c r="O47" s="2" t="s">
        <v>248</v>
      </c>
      <c r="P47" s="17">
        <v>0.92</v>
      </c>
      <c r="Q47" s="2">
        <v>0.89</v>
      </c>
      <c r="R47" s="2">
        <v>0.92</v>
      </c>
      <c r="S47" s="2">
        <v>0.9</v>
      </c>
      <c r="T47" s="2">
        <v>0.91</v>
      </c>
      <c r="U47" s="2">
        <v>0.89</v>
      </c>
      <c r="V47" s="2">
        <v>0.91</v>
      </c>
      <c r="W47" s="2">
        <v>0.7</v>
      </c>
      <c r="X47" s="2">
        <v>1.81</v>
      </c>
      <c r="Y47" s="2">
        <v>1.91</v>
      </c>
      <c r="Z47" s="2">
        <v>0.92</v>
      </c>
      <c r="AA47" s="2">
        <v>0.72</v>
      </c>
      <c r="AB47" s="2">
        <v>1.68</v>
      </c>
      <c r="AC47" s="2">
        <v>1.76</v>
      </c>
      <c r="AD47" s="2">
        <v>0.9</v>
      </c>
      <c r="AE47" s="2">
        <v>0.69</v>
      </c>
      <c r="AF47" s="2">
        <v>2.0299999999999998</v>
      </c>
      <c r="AG47" s="13">
        <v>2.13</v>
      </c>
      <c r="AN47" s="2">
        <f>AVERAGE(P47,R47,T47)</f>
        <v>0.91666666666666663</v>
      </c>
      <c r="AO47" s="2">
        <f>AVERAGE(Q47,S47,U47)</f>
        <v>0.89333333333333342</v>
      </c>
      <c r="AP47" s="2">
        <f>AVERAGE(V47,Z47,AD47)</f>
        <v>0.91</v>
      </c>
      <c r="AQ47" s="2">
        <f>AVERAGE(W47,AA47,AE47)</f>
        <v>0.70333333333333325</v>
      </c>
      <c r="AR47" s="2">
        <f>AVERAGE(X47,AB47,AF47)</f>
        <v>1.8399999999999999</v>
      </c>
      <c r="AS47" s="2">
        <f>AVERAGE(Y47,AC47,AG47)</f>
        <v>1.9333333333333333</v>
      </c>
      <c r="AT47" s="2">
        <f t="shared" si="2"/>
        <v>1.6133333333333333</v>
      </c>
      <c r="AU47" s="2">
        <f t="shared" si="3"/>
        <v>3.7733333333333334</v>
      </c>
      <c r="AV47" s="2" t="e">
        <f>AVERAGE(AH47,AJ47,AL47)</f>
        <v>#DIV/0!</v>
      </c>
      <c r="AW47" s="2" t="e">
        <f>AVERAGE(AI47,AK47,AM47)</f>
        <v>#DIV/0!</v>
      </c>
    </row>
    <row r="48" spans="1:49" x14ac:dyDescent="0.3">
      <c r="A48" s="7" t="s">
        <v>176</v>
      </c>
      <c r="B48" s="8" t="s">
        <v>177</v>
      </c>
      <c r="C48" s="8" t="s">
        <v>179</v>
      </c>
      <c r="D48" s="8" t="s">
        <v>179</v>
      </c>
      <c r="E48" s="8" t="s">
        <v>186</v>
      </c>
      <c r="F48" s="8" t="s">
        <v>178</v>
      </c>
      <c r="G48" s="37" t="s">
        <v>179</v>
      </c>
      <c r="H48" s="8">
        <v>1213</v>
      </c>
      <c r="I48" s="8" t="s">
        <v>206</v>
      </c>
      <c r="J48" s="8"/>
      <c r="K48" s="8">
        <v>4.593992364</v>
      </c>
      <c r="L48" s="8">
        <v>-0.50901501000000005</v>
      </c>
      <c r="M48" s="8">
        <v>0.15445488299999999</v>
      </c>
      <c r="N48" s="8">
        <v>2</v>
      </c>
      <c r="O48" s="8" t="s">
        <v>249</v>
      </c>
      <c r="P48" s="18">
        <v>0.91</v>
      </c>
      <c r="Q48" s="8">
        <v>0.89</v>
      </c>
      <c r="R48" s="8">
        <v>0.91</v>
      </c>
      <c r="S48" s="8">
        <v>0.89</v>
      </c>
      <c r="T48" s="8">
        <v>0.9</v>
      </c>
      <c r="U48" s="8">
        <v>0.88</v>
      </c>
      <c r="V48" s="8">
        <v>0.87</v>
      </c>
      <c r="W48" s="8">
        <v>0.64</v>
      </c>
      <c r="X48" s="8">
        <v>2.65</v>
      </c>
      <c r="Y48" s="8">
        <v>3.09</v>
      </c>
      <c r="Z48" s="8">
        <v>0.89</v>
      </c>
      <c r="AA48" s="8">
        <v>0.67</v>
      </c>
      <c r="AB48" s="8">
        <v>2.2400000000000002</v>
      </c>
      <c r="AC48" s="8">
        <v>2.67</v>
      </c>
      <c r="AD48" s="8">
        <v>0.89</v>
      </c>
      <c r="AE48" s="8">
        <v>0.65</v>
      </c>
      <c r="AF48" s="8">
        <v>2.31</v>
      </c>
      <c r="AG48" s="19">
        <v>2.93</v>
      </c>
      <c r="AH48" s="18"/>
      <c r="AI48" s="8"/>
      <c r="AJ48" s="8"/>
      <c r="AK48" s="8"/>
      <c r="AL48" s="8"/>
      <c r="AM48" s="19"/>
      <c r="AN48" s="2">
        <f>AVERAGE(P48,R48,T48)</f>
        <v>0.90666666666666673</v>
      </c>
      <c r="AO48" s="2">
        <f>AVERAGE(Q48,S48,U48)</f>
        <v>0.88666666666666671</v>
      </c>
      <c r="AP48" s="2">
        <f>AVERAGE(V48,Z48,AD48)</f>
        <v>0.8833333333333333</v>
      </c>
      <c r="AQ48" s="2">
        <f>AVERAGE(W48,AA48,AE48)</f>
        <v>0.65333333333333332</v>
      </c>
      <c r="AR48" s="2">
        <f>AVERAGE(X48,AB48,AF48)</f>
        <v>2.4000000000000004</v>
      </c>
      <c r="AS48" s="2">
        <f>AVERAGE(Y48,AC48,AG48)</f>
        <v>2.8966666666666665</v>
      </c>
      <c r="AT48" s="2">
        <f t="shared" si="2"/>
        <v>1.5366666666666666</v>
      </c>
      <c r="AU48" s="2">
        <f t="shared" si="3"/>
        <v>5.2966666666666669</v>
      </c>
      <c r="AV48" s="2" t="e">
        <f>AVERAGE(AH48,AJ48,AL48)</f>
        <v>#DIV/0!</v>
      </c>
      <c r="AW48" s="2" t="e">
        <f>AVERAGE(AI48,AK48,AM48)</f>
        <v>#DIV/0!</v>
      </c>
    </row>
    <row r="49" spans="1:49" x14ac:dyDescent="0.3">
      <c r="A49" s="4" t="s">
        <v>176</v>
      </c>
      <c r="B49" s="2" t="s">
        <v>177</v>
      </c>
      <c r="C49" s="2" t="s">
        <v>179</v>
      </c>
      <c r="D49" s="1" t="s">
        <v>22</v>
      </c>
      <c r="E49" s="2" t="s">
        <v>186</v>
      </c>
      <c r="F49" s="2" t="s">
        <v>178</v>
      </c>
      <c r="G49" s="2" t="s">
        <v>181</v>
      </c>
      <c r="H49" s="1">
        <v>1256</v>
      </c>
      <c r="I49" s="1" t="s">
        <v>207</v>
      </c>
      <c r="J49" s="1"/>
      <c r="K49" s="1">
        <v>1.8807253859999999</v>
      </c>
      <c r="L49" s="1">
        <v>-0.98328751199999997</v>
      </c>
      <c r="M49" s="1">
        <v>7.7863699999999999E-3</v>
      </c>
      <c r="N49" s="1">
        <v>1</v>
      </c>
      <c r="O49" s="2" t="s">
        <v>248</v>
      </c>
      <c r="P49" s="17">
        <v>0.91</v>
      </c>
      <c r="Q49" s="2">
        <v>0.89</v>
      </c>
      <c r="R49" s="2">
        <v>0.91</v>
      </c>
      <c r="S49" s="2">
        <v>0.89</v>
      </c>
      <c r="T49" s="2">
        <v>0.91</v>
      </c>
      <c r="U49" s="2">
        <v>0.88</v>
      </c>
      <c r="V49" s="2">
        <v>0.85</v>
      </c>
      <c r="W49" s="2">
        <v>0.64</v>
      </c>
      <c r="X49" s="2">
        <v>2.23</v>
      </c>
      <c r="Y49" s="2">
        <v>2.52</v>
      </c>
      <c r="Z49" s="2">
        <v>0.86</v>
      </c>
      <c r="AA49" s="2">
        <v>0.65</v>
      </c>
      <c r="AB49" s="2">
        <v>2.2799999999999998</v>
      </c>
      <c r="AC49" s="2">
        <v>2.44</v>
      </c>
      <c r="AD49" s="2">
        <v>0.86</v>
      </c>
      <c r="AE49" s="2">
        <v>0.63</v>
      </c>
      <c r="AF49" s="2">
        <v>2.54</v>
      </c>
      <c r="AG49" s="13">
        <v>2.71</v>
      </c>
      <c r="AN49" s="2">
        <f>AVERAGE(P49,R49,T49)</f>
        <v>0.91</v>
      </c>
      <c r="AO49" s="2">
        <f>AVERAGE(Q49,S49,U49)</f>
        <v>0.88666666666666671</v>
      </c>
      <c r="AP49" s="2">
        <f>AVERAGE(V49,Z49,AD49)</f>
        <v>0.85666666666666658</v>
      </c>
      <c r="AQ49" s="2">
        <f>AVERAGE(W49,AA49,AE49)</f>
        <v>0.64</v>
      </c>
      <c r="AR49" s="2">
        <f>AVERAGE(X49,AB49,AF49)</f>
        <v>2.35</v>
      </c>
      <c r="AS49" s="2">
        <f>AVERAGE(Y49,AC49,AG49)</f>
        <v>2.5566666666666666</v>
      </c>
      <c r="AT49" s="2">
        <f t="shared" si="2"/>
        <v>1.4966666666666666</v>
      </c>
      <c r="AU49" s="2">
        <f t="shared" si="3"/>
        <v>4.9066666666666663</v>
      </c>
      <c r="AV49" s="2" t="e">
        <f>AVERAGE(AH49,AJ49,AL49)</f>
        <v>#DIV/0!</v>
      </c>
      <c r="AW49" s="2" t="e">
        <f>AVERAGE(AI49,AK49,AM49)</f>
        <v>#DIV/0!</v>
      </c>
    </row>
    <row r="50" spans="1:49" x14ac:dyDescent="0.3">
      <c r="A50" s="4" t="s">
        <v>176</v>
      </c>
      <c r="B50" s="2" t="s">
        <v>177</v>
      </c>
      <c r="C50" s="2" t="s">
        <v>179</v>
      </c>
      <c r="D50" s="1" t="s">
        <v>69</v>
      </c>
      <c r="E50" s="2" t="s">
        <v>186</v>
      </c>
      <c r="F50" s="2" t="s">
        <v>178</v>
      </c>
      <c r="G50" s="2" t="s">
        <v>183</v>
      </c>
      <c r="H50" s="1">
        <v>1288</v>
      </c>
      <c r="I50" s="1" t="s">
        <v>207</v>
      </c>
      <c r="J50" s="1"/>
      <c r="K50" s="1">
        <v>-4.334828667</v>
      </c>
      <c r="L50" s="1">
        <v>-0.62398161500000004</v>
      </c>
      <c r="M50" s="1">
        <v>0.133865295</v>
      </c>
      <c r="N50" s="1">
        <v>3</v>
      </c>
      <c r="O50" s="2" t="s">
        <v>250</v>
      </c>
      <c r="P50" s="17">
        <v>0.83</v>
      </c>
      <c r="Q50" s="2">
        <v>0.86</v>
      </c>
      <c r="R50" s="2">
        <v>0.87</v>
      </c>
      <c r="S50" s="2">
        <v>0.87</v>
      </c>
      <c r="T50" s="2">
        <v>0.86</v>
      </c>
      <c r="U50" s="2">
        <v>0.87</v>
      </c>
      <c r="V50" s="2">
        <v>0.54</v>
      </c>
      <c r="W50" s="2">
        <v>0.28999999999999998</v>
      </c>
      <c r="X50" s="2">
        <v>8.5</v>
      </c>
      <c r="Y50" s="2">
        <v>12.18</v>
      </c>
      <c r="Z50" s="2">
        <v>0.59</v>
      </c>
      <c r="AA50" s="2">
        <v>0.35</v>
      </c>
      <c r="AB50" s="2">
        <v>7.93</v>
      </c>
      <c r="AC50" s="2">
        <v>10.81</v>
      </c>
      <c r="AD50" s="2">
        <v>0.59</v>
      </c>
      <c r="AE50" s="2">
        <v>0.35</v>
      </c>
      <c r="AF50" s="2">
        <v>8.3800000000000008</v>
      </c>
      <c r="AG50" s="13">
        <v>9.66</v>
      </c>
      <c r="AN50" s="2">
        <f>AVERAGE(P50,R50,T50)</f>
        <v>0.85333333333333339</v>
      </c>
      <c r="AO50" s="2">
        <f>AVERAGE(Q50,S50,U50)</f>
        <v>0.8666666666666667</v>
      </c>
      <c r="AP50" s="2">
        <f>AVERAGE(V50,Z50,AD50)</f>
        <v>0.57333333333333325</v>
      </c>
      <c r="AQ50" s="2">
        <f>AVERAGE(W50,AA50,AE50)</f>
        <v>0.32999999999999996</v>
      </c>
      <c r="AR50" s="2">
        <f>AVERAGE(X50,AB50,AF50)</f>
        <v>8.2700000000000014</v>
      </c>
      <c r="AS50" s="2">
        <f>AVERAGE(Y50,AC50,AG50)</f>
        <v>10.883333333333335</v>
      </c>
      <c r="AT50" s="2">
        <f t="shared" si="2"/>
        <v>0.90333333333333321</v>
      </c>
      <c r="AU50" s="2">
        <f t="shared" si="3"/>
        <v>19.153333333333336</v>
      </c>
      <c r="AV50" s="2" t="e">
        <f>AVERAGE(AH50,AJ50,AL50)</f>
        <v>#DIV/0!</v>
      </c>
      <c r="AW50" s="2" t="e">
        <f>AVERAGE(AI50,AK50,AM50)</f>
        <v>#DIV/0!</v>
      </c>
    </row>
    <row r="51" spans="1:49" x14ac:dyDescent="0.3">
      <c r="A51" s="7" t="s">
        <v>176</v>
      </c>
      <c r="B51" s="8" t="s">
        <v>177</v>
      </c>
      <c r="C51" s="8" t="s">
        <v>179</v>
      </c>
      <c r="D51" s="8" t="s">
        <v>179</v>
      </c>
      <c r="E51" s="8" t="s">
        <v>186</v>
      </c>
      <c r="F51" s="8" t="s">
        <v>178</v>
      </c>
      <c r="G51" s="37" t="s">
        <v>179</v>
      </c>
      <c r="H51" s="8">
        <v>1291</v>
      </c>
      <c r="I51" s="8" t="s">
        <v>207</v>
      </c>
      <c r="J51" s="8"/>
      <c r="K51" s="8">
        <v>0.65540503999999999</v>
      </c>
      <c r="L51" s="8">
        <v>-0.57520305900000002</v>
      </c>
      <c r="M51" s="8">
        <v>0.167361485</v>
      </c>
      <c r="N51" s="8">
        <v>2</v>
      </c>
      <c r="O51" s="8" t="s">
        <v>249</v>
      </c>
      <c r="P51" s="18">
        <v>0.91</v>
      </c>
      <c r="Q51" s="8">
        <v>0.89</v>
      </c>
      <c r="R51" s="8">
        <v>0.83</v>
      </c>
      <c r="S51" s="8">
        <v>0.87</v>
      </c>
      <c r="T51" s="8">
        <v>0.83</v>
      </c>
      <c r="U51" s="8">
        <v>0.87</v>
      </c>
      <c r="V51" s="8">
        <v>0.84</v>
      </c>
      <c r="W51" s="8">
        <v>0.62</v>
      </c>
      <c r="X51" s="8">
        <v>3.05</v>
      </c>
      <c r="Y51" s="8">
        <v>3.2</v>
      </c>
      <c r="Z51" s="8">
        <v>0.66</v>
      </c>
      <c r="AA51" s="8">
        <v>0.39</v>
      </c>
      <c r="AB51" s="8">
        <v>6.59</v>
      </c>
      <c r="AC51" s="8">
        <v>8.64</v>
      </c>
      <c r="AD51" s="8">
        <v>0.64</v>
      </c>
      <c r="AE51" s="8">
        <v>0.36</v>
      </c>
      <c r="AF51" s="8">
        <v>8.1999999999999993</v>
      </c>
      <c r="AG51" s="19">
        <v>10.8</v>
      </c>
      <c r="AH51" s="18"/>
      <c r="AI51" s="8"/>
      <c r="AJ51" s="8"/>
      <c r="AK51" s="8"/>
      <c r="AL51" s="8"/>
      <c r="AM51" s="19"/>
      <c r="AN51" s="2">
        <f>AVERAGE(P51,R51,T51)</f>
        <v>0.85666666666666658</v>
      </c>
      <c r="AO51" s="2">
        <f>AVERAGE(Q51,S51,U51)</f>
        <v>0.87666666666666659</v>
      </c>
      <c r="AP51" s="2">
        <f>AVERAGE(V51,Z51,AD51)</f>
        <v>0.71333333333333337</v>
      </c>
      <c r="AQ51" s="2">
        <f>AVERAGE(W51,AA51,AE51)</f>
        <v>0.45666666666666672</v>
      </c>
      <c r="AR51" s="2">
        <f>AVERAGE(X51,AB51,AF51)</f>
        <v>5.9466666666666663</v>
      </c>
      <c r="AS51" s="2">
        <f>AVERAGE(Y51,AC51,AG51)</f>
        <v>7.5466666666666669</v>
      </c>
      <c r="AT51" s="2">
        <f t="shared" si="2"/>
        <v>1.1700000000000002</v>
      </c>
      <c r="AU51" s="2">
        <f t="shared" si="3"/>
        <v>13.493333333333332</v>
      </c>
      <c r="AV51" s="2" t="e">
        <f>AVERAGE(AH51,AJ51,AL51)</f>
        <v>#DIV/0!</v>
      </c>
      <c r="AW51" s="2" t="e">
        <f>AVERAGE(AI51,AK51,AM51)</f>
        <v>#DIV/0!</v>
      </c>
    </row>
    <row r="52" spans="1:49" x14ac:dyDescent="0.3">
      <c r="A52" s="7" t="s">
        <v>176</v>
      </c>
      <c r="B52" s="8" t="s">
        <v>177</v>
      </c>
      <c r="C52" s="8" t="s">
        <v>179</v>
      </c>
      <c r="D52" s="8" t="s">
        <v>179</v>
      </c>
      <c r="E52" s="8" t="s">
        <v>186</v>
      </c>
      <c r="F52" s="8" t="s">
        <v>178</v>
      </c>
      <c r="G52" s="37" t="s">
        <v>179</v>
      </c>
      <c r="H52" s="8">
        <v>1294</v>
      </c>
      <c r="I52" s="8" t="s">
        <v>206</v>
      </c>
      <c r="J52" s="8"/>
      <c r="K52" s="8">
        <v>0.60402162000000004</v>
      </c>
      <c r="L52" s="8">
        <v>0.79465857399999995</v>
      </c>
      <c r="M52" s="8">
        <v>1.0491350000000001E-3</v>
      </c>
      <c r="N52" s="8">
        <v>2</v>
      </c>
      <c r="O52" s="8" t="s">
        <v>249</v>
      </c>
      <c r="P52" s="18">
        <v>0.82</v>
      </c>
      <c r="Q52" s="8">
        <v>0.87</v>
      </c>
      <c r="R52" s="8">
        <v>0.88</v>
      </c>
      <c r="S52" s="8">
        <v>0.88</v>
      </c>
      <c r="T52" s="8">
        <v>0.87</v>
      </c>
      <c r="U52" s="8">
        <v>0.88</v>
      </c>
      <c r="V52" s="8">
        <v>0.56999999999999995</v>
      </c>
      <c r="W52" s="8">
        <v>0.31</v>
      </c>
      <c r="X52" s="8">
        <v>8.02</v>
      </c>
      <c r="Y52" s="8">
        <v>13.18</v>
      </c>
      <c r="Z52" s="8">
        <v>0.8</v>
      </c>
      <c r="AA52" s="8">
        <v>0.5</v>
      </c>
      <c r="AB52" s="8">
        <v>3.79</v>
      </c>
      <c r="AC52" s="8">
        <v>5.4</v>
      </c>
      <c r="AD52" s="8">
        <v>0.57999999999999996</v>
      </c>
      <c r="AE52" s="8">
        <v>0.32</v>
      </c>
      <c r="AF52" s="8">
        <v>6.95</v>
      </c>
      <c r="AG52" s="19">
        <v>12.75</v>
      </c>
      <c r="AH52" s="18"/>
      <c r="AI52" s="8"/>
      <c r="AJ52" s="8"/>
      <c r="AK52" s="8"/>
      <c r="AL52" s="8"/>
      <c r="AM52" s="19"/>
      <c r="AN52" s="2">
        <f>AVERAGE(P52,R52,T52)</f>
        <v>0.85666666666666658</v>
      </c>
      <c r="AO52" s="2">
        <f>AVERAGE(Q52,S52,U52)</f>
        <v>0.87666666666666659</v>
      </c>
      <c r="AP52" s="2">
        <f>AVERAGE(V52,Z52,AD52)</f>
        <v>0.65</v>
      </c>
      <c r="AQ52" s="2">
        <f>AVERAGE(W52,AA52,AE52)</f>
        <v>0.37666666666666671</v>
      </c>
      <c r="AR52" s="2">
        <f>AVERAGE(X52,AB52,AF52)</f>
        <v>6.253333333333333</v>
      </c>
      <c r="AS52" s="2">
        <f>AVERAGE(Y52,AC52,AG52)</f>
        <v>10.443333333333333</v>
      </c>
      <c r="AT52" s="2">
        <f t="shared" si="2"/>
        <v>1.0266666666666668</v>
      </c>
      <c r="AU52" s="2">
        <f t="shared" si="3"/>
        <v>16.696666666666665</v>
      </c>
      <c r="AV52" s="2" t="e">
        <f>AVERAGE(AH52,AJ52,AL52)</f>
        <v>#DIV/0!</v>
      </c>
      <c r="AW52" s="2" t="e">
        <f>AVERAGE(AI52,AK52,AM52)</f>
        <v>#DIV/0!</v>
      </c>
    </row>
    <row r="53" spans="1:49" x14ac:dyDescent="0.3">
      <c r="A53" s="4" t="s">
        <v>176</v>
      </c>
      <c r="B53" s="2" t="s">
        <v>177</v>
      </c>
      <c r="C53" s="2" t="s">
        <v>179</v>
      </c>
      <c r="D53" s="1" t="s">
        <v>70</v>
      </c>
      <c r="E53" s="2" t="s">
        <v>186</v>
      </c>
      <c r="F53" s="2" t="s">
        <v>178</v>
      </c>
      <c r="G53" s="2" t="s">
        <v>183</v>
      </c>
      <c r="H53" s="1">
        <v>1297</v>
      </c>
      <c r="I53" s="1" t="s">
        <v>206</v>
      </c>
      <c r="J53" s="1"/>
      <c r="K53" s="1">
        <v>-2.8639296359999999</v>
      </c>
      <c r="L53" s="1">
        <v>0.18165279300000001</v>
      </c>
      <c r="M53" s="1">
        <v>0.64557340200000002</v>
      </c>
      <c r="N53" s="1">
        <v>3</v>
      </c>
      <c r="O53" s="2" t="s">
        <v>250</v>
      </c>
      <c r="P53" s="17">
        <v>0.86</v>
      </c>
      <c r="Q53" s="2">
        <v>0.87</v>
      </c>
      <c r="R53" s="2">
        <v>0.88</v>
      </c>
      <c r="S53" s="2">
        <v>0.86</v>
      </c>
      <c r="T53" s="2">
        <v>0.85</v>
      </c>
      <c r="U53" s="2">
        <v>0.87</v>
      </c>
      <c r="V53" s="2">
        <v>0.54</v>
      </c>
      <c r="W53" s="2">
        <v>0.32</v>
      </c>
      <c r="X53" s="2">
        <v>10.73</v>
      </c>
      <c r="Y53" s="2">
        <v>9.9600000000000009</v>
      </c>
      <c r="Z53" s="2">
        <v>0.63</v>
      </c>
      <c r="AA53" s="2">
        <v>0.37</v>
      </c>
      <c r="AB53" s="2">
        <v>8.1199999999999992</v>
      </c>
      <c r="AC53" s="2">
        <v>9.07</v>
      </c>
      <c r="AD53" s="2">
        <v>0.47</v>
      </c>
      <c r="AE53" s="2">
        <v>0.26</v>
      </c>
      <c r="AF53" s="2">
        <v>9.8800000000000008</v>
      </c>
      <c r="AG53" s="13">
        <v>10.38</v>
      </c>
      <c r="AN53" s="2">
        <f>AVERAGE(P53,R53,T53)</f>
        <v>0.86333333333333329</v>
      </c>
      <c r="AO53" s="2">
        <f>AVERAGE(Q53,S53,U53)</f>
        <v>0.8666666666666667</v>
      </c>
      <c r="AP53" s="2">
        <f>AVERAGE(V53,Z53,AD53)</f>
        <v>0.54666666666666663</v>
      </c>
      <c r="AQ53" s="2">
        <f>AVERAGE(W53,AA53,AE53)</f>
        <v>0.31666666666666665</v>
      </c>
      <c r="AR53" s="2">
        <f>AVERAGE(X53,AB53,AF53)</f>
        <v>9.576666666666668</v>
      </c>
      <c r="AS53" s="2">
        <f>AVERAGE(Y53,AC53,AG53)</f>
        <v>9.8033333333333346</v>
      </c>
      <c r="AT53" s="2">
        <f t="shared" si="2"/>
        <v>0.86333333333333329</v>
      </c>
      <c r="AU53" s="2">
        <f t="shared" si="3"/>
        <v>19.380000000000003</v>
      </c>
      <c r="AV53" s="2" t="e">
        <f>AVERAGE(AH53,AJ53,AL53)</f>
        <v>#DIV/0!</v>
      </c>
      <c r="AW53" s="2" t="e">
        <f>AVERAGE(AI53,AK53,AM53)</f>
        <v>#DIV/0!</v>
      </c>
    </row>
    <row r="54" spans="1:49" x14ac:dyDescent="0.3">
      <c r="A54" s="4" t="s">
        <v>176</v>
      </c>
      <c r="B54" s="2" t="s">
        <v>177</v>
      </c>
      <c r="C54" s="2" t="s">
        <v>179</v>
      </c>
      <c r="D54" s="1" t="s">
        <v>23</v>
      </c>
      <c r="E54" s="2" t="s">
        <v>186</v>
      </c>
      <c r="F54" s="2" t="s">
        <v>178</v>
      </c>
      <c r="G54" s="2" t="s">
        <v>181</v>
      </c>
      <c r="H54" s="1">
        <v>1329</v>
      </c>
      <c r="I54" s="1" t="s">
        <v>206</v>
      </c>
      <c r="J54" s="1"/>
      <c r="K54" s="1">
        <v>5.3434508999999998E-2</v>
      </c>
      <c r="L54" s="1">
        <v>-0.81376519599999997</v>
      </c>
      <c r="M54" s="1">
        <v>3.775908E-2</v>
      </c>
      <c r="N54" s="1">
        <v>1</v>
      </c>
      <c r="O54" s="2" t="s">
        <v>248</v>
      </c>
      <c r="P54" s="17">
        <v>0.91</v>
      </c>
      <c r="Q54" s="2">
        <v>0.89</v>
      </c>
      <c r="R54" s="2">
        <v>0.91</v>
      </c>
      <c r="S54" s="2">
        <v>0.89</v>
      </c>
      <c r="T54" s="2">
        <v>0.91</v>
      </c>
      <c r="U54" s="2">
        <v>0.89</v>
      </c>
      <c r="V54" s="2">
        <v>0.88</v>
      </c>
      <c r="W54" s="2">
        <v>0.65</v>
      </c>
      <c r="X54" s="2">
        <v>2.19</v>
      </c>
      <c r="Y54" s="2">
        <v>2.5099999999999998</v>
      </c>
      <c r="Z54" s="2">
        <v>0.88</v>
      </c>
      <c r="AA54" s="2">
        <v>0.67</v>
      </c>
      <c r="AB54" s="2">
        <v>2.17</v>
      </c>
      <c r="AC54" s="2">
        <v>2.4300000000000002</v>
      </c>
      <c r="AD54" s="2">
        <v>0.88</v>
      </c>
      <c r="AE54" s="2">
        <v>0.65</v>
      </c>
      <c r="AF54" s="2">
        <v>2.19</v>
      </c>
      <c r="AG54" s="13">
        <v>2.61</v>
      </c>
      <c r="AN54" s="2">
        <f>AVERAGE(P54,R54,T54)</f>
        <v>0.91</v>
      </c>
      <c r="AO54" s="2">
        <f>AVERAGE(Q54,S54,U54)</f>
        <v>0.89</v>
      </c>
      <c r="AP54" s="2">
        <f>AVERAGE(V54,Z54,AD54)</f>
        <v>0.88</v>
      </c>
      <c r="AQ54" s="2">
        <f>AVERAGE(W54,AA54,AE54)</f>
        <v>0.65666666666666673</v>
      </c>
      <c r="AR54" s="2">
        <f>AVERAGE(X54,AB54,AF54)</f>
        <v>2.1833333333333331</v>
      </c>
      <c r="AS54" s="2">
        <f>AVERAGE(Y54,AC54,AG54)</f>
        <v>2.5166666666666662</v>
      </c>
      <c r="AT54" s="2">
        <f t="shared" si="2"/>
        <v>1.5366666666666666</v>
      </c>
      <c r="AU54" s="2">
        <f t="shared" si="3"/>
        <v>4.6999999999999993</v>
      </c>
      <c r="AV54" s="2" t="e">
        <f>AVERAGE(AH54,AJ54,AL54)</f>
        <v>#DIV/0!</v>
      </c>
      <c r="AW54" s="2" t="e">
        <f>AVERAGE(AI54,AK54,AM54)</f>
        <v>#DIV/0!</v>
      </c>
    </row>
    <row r="55" spans="1:49" x14ac:dyDescent="0.3">
      <c r="A55" s="7" t="s">
        <v>176</v>
      </c>
      <c r="B55" s="8" t="s">
        <v>177</v>
      </c>
      <c r="C55" s="8" t="s">
        <v>179</v>
      </c>
      <c r="D55" s="8" t="s">
        <v>179</v>
      </c>
      <c r="E55" s="8" t="s">
        <v>186</v>
      </c>
      <c r="F55" s="8" t="s">
        <v>178</v>
      </c>
      <c r="G55" s="37" t="s">
        <v>179</v>
      </c>
      <c r="H55" s="8">
        <v>1391</v>
      </c>
      <c r="I55" s="8" t="s">
        <v>206</v>
      </c>
      <c r="J55" s="8"/>
      <c r="K55" s="8">
        <v>4.54108906</v>
      </c>
      <c r="L55" s="8">
        <v>1.045845913</v>
      </c>
      <c r="M55" s="8">
        <v>9.6011999999999996E-4</v>
      </c>
      <c r="N55" s="8">
        <v>2</v>
      </c>
      <c r="O55" s="8" t="s">
        <v>249</v>
      </c>
      <c r="P55" s="18">
        <v>0.9</v>
      </c>
      <c r="Q55" s="8">
        <v>0.89</v>
      </c>
      <c r="R55" s="8">
        <v>0.81</v>
      </c>
      <c r="S55" s="8">
        <v>0.86</v>
      </c>
      <c r="T55" s="8">
        <v>0.91</v>
      </c>
      <c r="U55" s="8">
        <v>0.89</v>
      </c>
      <c r="V55" s="8">
        <v>0.75</v>
      </c>
      <c r="W55" s="8">
        <v>0.56000000000000005</v>
      </c>
      <c r="X55" s="8">
        <v>2.25</v>
      </c>
      <c r="Y55" s="8">
        <v>2.52</v>
      </c>
      <c r="Z55" s="8">
        <v>0.42</v>
      </c>
      <c r="AA55" s="8">
        <v>0.24</v>
      </c>
      <c r="AB55" s="8">
        <v>15.28</v>
      </c>
      <c r="AC55" s="8">
        <v>13.21</v>
      </c>
      <c r="AD55" s="8">
        <v>0.76</v>
      </c>
      <c r="AE55" s="8">
        <v>0.56999999999999995</v>
      </c>
      <c r="AF55" s="8">
        <v>2.4900000000000002</v>
      </c>
      <c r="AG55" s="19">
        <v>2.68</v>
      </c>
      <c r="AH55" s="18"/>
      <c r="AI55" s="8"/>
      <c r="AJ55" s="8"/>
      <c r="AK55" s="8"/>
      <c r="AL55" s="8"/>
      <c r="AM55" s="19"/>
      <c r="AN55" s="2">
        <f>AVERAGE(P55,R55,T55)</f>
        <v>0.87333333333333341</v>
      </c>
      <c r="AO55" s="2">
        <f>AVERAGE(Q55,S55,U55)</f>
        <v>0.88</v>
      </c>
      <c r="AP55" s="2">
        <f>AVERAGE(V55,Z55,AD55)</f>
        <v>0.64333333333333331</v>
      </c>
      <c r="AQ55" s="2">
        <f>AVERAGE(W55,AA55,AE55)</f>
        <v>0.45666666666666672</v>
      </c>
      <c r="AR55" s="2">
        <f>AVERAGE(X55,AB55,AF55)</f>
        <v>6.6733333333333347</v>
      </c>
      <c r="AS55" s="2">
        <f>AVERAGE(Y55,AC55,AG55)</f>
        <v>6.1366666666666667</v>
      </c>
      <c r="AT55" s="2">
        <f t="shared" si="2"/>
        <v>1.1000000000000001</v>
      </c>
      <c r="AU55" s="2">
        <f t="shared" si="3"/>
        <v>12.810000000000002</v>
      </c>
      <c r="AV55" s="2" t="e">
        <f>AVERAGE(AH55,AJ55,AL55)</f>
        <v>#DIV/0!</v>
      </c>
      <c r="AW55" s="2" t="e">
        <f>AVERAGE(AI55,AK55,AM55)</f>
        <v>#DIV/0!</v>
      </c>
    </row>
    <row r="56" spans="1:49" x14ac:dyDescent="0.3">
      <c r="A56" s="4" t="s">
        <v>176</v>
      </c>
      <c r="B56" s="2" t="s">
        <v>177</v>
      </c>
      <c r="C56" s="2" t="s">
        <v>179</v>
      </c>
      <c r="D56" s="1" t="s">
        <v>24</v>
      </c>
      <c r="E56" s="2" t="s">
        <v>186</v>
      </c>
      <c r="F56" s="2" t="s">
        <v>178</v>
      </c>
      <c r="G56" s="37" t="s">
        <v>181</v>
      </c>
      <c r="H56" s="1">
        <v>1410</v>
      </c>
      <c r="I56" s="1" t="s">
        <v>208</v>
      </c>
      <c r="J56" s="1"/>
      <c r="K56" s="1">
        <v>-3.937684886</v>
      </c>
      <c r="L56" s="1">
        <v>-0.29954439999999999</v>
      </c>
      <c r="M56" s="1">
        <v>0.50809287700000005</v>
      </c>
      <c r="N56" s="1">
        <v>1</v>
      </c>
      <c r="O56" s="2" t="s">
        <v>251</v>
      </c>
      <c r="P56" s="17">
        <v>0.9</v>
      </c>
      <c r="Q56" s="2">
        <v>0.88</v>
      </c>
      <c r="R56" s="2">
        <v>0.9</v>
      </c>
      <c r="S56" s="2">
        <v>0.88</v>
      </c>
      <c r="T56" s="2">
        <v>0.89</v>
      </c>
      <c r="U56" s="2">
        <v>0.88</v>
      </c>
      <c r="V56" s="2">
        <v>0.83</v>
      </c>
      <c r="W56" s="2">
        <v>0.59</v>
      </c>
      <c r="X56" s="2">
        <v>3.56</v>
      </c>
      <c r="Y56" s="2">
        <v>4.25</v>
      </c>
      <c r="Z56" s="2">
        <v>0.84</v>
      </c>
      <c r="AA56" s="2">
        <v>0.56999999999999995</v>
      </c>
      <c r="AB56" s="2">
        <v>3.57</v>
      </c>
      <c r="AC56" s="2">
        <v>4.1399999999999997</v>
      </c>
      <c r="AD56" s="2">
        <v>0.83</v>
      </c>
      <c r="AE56" s="2">
        <v>0.56999999999999995</v>
      </c>
      <c r="AF56" s="2">
        <v>3.55</v>
      </c>
      <c r="AG56" s="13">
        <v>4.24</v>
      </c>
      <c r="AN56" s="2">
        <f>AVERAGE(P56,R56,T56)</f>
        <v>0.89666666666666661</v>
      </c>
      <c r="AO56" s="2">
        <f>AVERAGE(Q56,S56,U56)</f>
        <v>0.88</v>
      </c>
      <c r="AP56" s="2">
        <f>AVERAGE(V56,Z56,AD56)</f>
        <v>0.83333333333333337</v>
      </c>
      <c r="AQ56" s="2">
        <f>AVERAGE(W56,AA56,AE56)</f>
        <v>0.57666666666666666</v>
      </c>
      <c r="AR56" s="2">
        <f>AVERAGE(X56,AB56,AF56)</f>
        <v>3.56</v>
      </c>
      <c r="AS56" s="2">
        <f>AVERAGE(Y56,AC56,AG56)</f>
        <v>4.21</v>
      </c>
      <c r="AT56" s="2">
        <f t="shared" si="2"/>
        <v>1.4100000000000001</v>
      </c>
      <c r="AU56" s="2">
        <f t="shared" si="3"/>
        <v>7.77</v>
      </c>
      <c r="AV56" s="2" t="e">
        <f>AVERAGE(AH56,AJ56,AL56)</f>
        <v>#DIV/0!</v>
      </c>
      <c r="AW56" s="2" t="e">
        <f>AVERAGE(AI56,AK56,AM56)</f>
        <v>#DIV/0!</v>
      </c>
    </row>
    <row r="57" spans="1:49" x14ac:dyDescent="0.3">
      <c r="A57" s="7" t="s">
        <v>176</v>
      </c>
      <c r="B57" s="8" t="s">
        <v>177</v>
      </c>
      <c r="C57" s="8" t="s">
        <v>179</v>
      </c>
      <c r="D57" s="8" t="s">
        <v>179</v>
      </c>
      <c r="E57" s="8" t="s">
        <v>186</v>
      </c>
      <c r="F57" s="8" t="s">
        <v>178</v>
      </c>
      <c r="G57" s="37" t="s">
        <v>179</v>
      </c>
      <c r="H57" s="8">
        <v>1471</v>
      </c>
      <c r="I57" s="8" t="s">
        <v>206</v>
      </c>
      <c r="J57" s="8"/>
      <c r="K57" s="8">
        <v>3.4727631090000002</v>
      </c>
      <c r="L57" s="8">
        <v>-0.34334535900000002</v>
      </c>
      <c r="M57" s="8">
        <v>0.31209340200000002</v>
      </c>
      <c r="N57" s="8">
        <v>2</v>
      </c>
      <c r="O57" s="8" t="s">
        <v>249</v>
      </c>
      <c r="P57" s="18">
        <v>0.86</v>
      </c>
      <c r="Q57" s="8">
        <v>0.88</v>
      </c>
      <c r="R57" s="8">
        <v>0.83</v>
      </c>
      <c r="S57" s="8">
        <v>0.87</v>
      </c>
      <c r="T57" s="8">
        <v>0.8</v>
      </c>
      <c r="U57" s="8">
        <v>0.86</v>
      </c>
      <c r="V57" s="8">
        <v>0.48</v>
      </c>
      <c r="W57" s="8">
        <v>0.31</v>
      </c>
      <c r="X57" s="8">
        <v>11.43</v>
      </c>
      <c r="Y57" s="8">
        <v>9.73</v>
      </c>
      <c r="Z57" s="8">
        <v>0.4</v>
      </c>
      <c r="AA57" s="8">
        <v>0.2</v>
      </c>
      <c r="AB57" s="8">
        <v>14.96</v>
      </c>
      <c r="AC57" s="8">
        <v>13.87</v>
      </c>
      <c r="AD57" s="8">
        <v>0.72</v>
      </c>
      <c r="AE57" s="8">
        <v>0.41</v>
      </c>
      <c r="AF57" s="8">
        <v>5.32</v>
      </c>
      <c r="AG57" s="19">
        <v>8.48</v>
      </c>
      <c r="AH57" s="18"/>
      <c r="AI57" s="8"/>
      <c r="AJ57" s="8"/>
      <c r="AK57" s="8"/>
      <c r="AL57" s="8"/>
      <c r="AM57" s="19"/>
      <c r="AN57" s="2">
        <f>AVERAGE(P57,R57,T57)</f>
        <v>0.83000000000000007</v>
      </c>
      <c r="AO57" s="2">
        <f>AVERAGE(Q57,S57,U57)</f>
        <v>0.87</v>
      </c>
      <c r="AP57" s="2">
        <f>AVERAGE(V57,Z57,AD57)</f>
        <v>0.53333333333333333</v>
      </c>
      <c r="AQ57" s="2">
        <f>AVERAGE(W57,AA57,AE57)</f>
        <v>0.30666666666666664</v>
      </c>
      <c r="AR57" s="2">
        <f>AVERAGE(X57,AB57,AF57)</f>
        <v>10.57</v>
      </c>
      <c r="AS57" s="2">
        <f>AVERAGE(Y57,AC57,AG57)</f>
        <v>10.693333333333333</v>
      </c>
      <c r="AT57" s="2">
        <f t="shared" si="2"/>
        <v>0.84</v>
      </c>
      <c r="AU57" s="2">
        <f t="shared" si="3"/>
        <v>21.263333333333335</v>
      </c>
      <c r="AV57" s="2" t="e">
        <f>AVERAGE(AH57,AJ57,AL57)</f>
        <v>#DIV/0!</v>
      </c>
      <c r="AW57" s="2" t="e">
        <f>AVERAGE(AI57,AK57,AM57)</f>
        <v>#DIV/0!</v>
      </c>
    </row>
    <row r="58" spans="1:49" x14ac:dyDescent="0.3">
      <c r="A58" s="4" t="s">
        <v>176</v>
      </c>
      <c r="B58" s="2" t="s">
        <v>177</v>
      </c>
      <c r="C58" s="2" t="s">
        <v>179</v>
      </c>
      <c r="D58" s="1" t="s">
        <v>25</v>
      </c>
      <c r="E58" s="2" t="s">
        <v>186</v>
      </c>
      <c r="F58" s="2" t="s">
        <v>178</v>
      </c>
      <c r="G58" s="2" t="s">
        <v>181</v>
      </c>
      <c r="H58" s="1">
        <v>1477</v>
      </c>
      <c r="I58" s="1" t="s">
        <v>206</v>
      </c>
      <c r="J58" s="1"/>
      <c r="K58" s="1">
        <v>6.5905900830000004</v>
      </c>
      <c r="L58" s="1">
        <v>-0.49450152400000003</v>
      </c>
      <c r="M58" s="1">
        <v>0.12716859</v>
      </c>
      <c r="N58" s="1">
        <v>1</v>
      </c>
      <c r="O58" s="2" t="s">
        <v>249</v>
      </c>
      <c r="P58" s="17">
        <v>0.91</v>
      </c>
      <c r="Q58" s="2">
        <v>0.89</v>
      </c>
      <c r="R58" s="2">
        <v>0.91</v>
      </c>
      <c r="S58" s="2">
        <v>0.89</v>
      </c>
      <c r="T58" s="2">
        <v>0.91</v>
      </c>
      <c r="U58" s="2">
        <v>0.88</v>
      </c>
      <c r="V58" s="2">
        <v>0.89</v>
      </c>
      <c r="W58" s="2">
        <v>0.67</v>
      </c>
      <c r="X58" s="2">
        <v>2.08</v>
      </c>
      <c r="Y58" s="2">
        <v>2.31</v>
      </c>
      <c r="Z58" s="2">
        <v>0.89</v>
      </c>
      <c r="AA58" s="2">
        <v>0.68</v>
      </c>
      <c r="AB58" s="2">
        <v>2.19</v>
      </c>
      <c r="AC58" s="2">
        <v>2.4</v>
      </c>
      <c r="AD58" s="2">
        <v>0.89</v>
      </c>
      <c r="AE58" s="2">
        <v>0.66</v>
      </c>
      <c r="AF58" s="2">
        <v>2.21</v>
      </c>
      <c r="AG58" s="13">
        <v>2.5099999999999998</v>
      </c>
      <c r="AN58" s="2">
        <f>AVERAGE(P58,R58,T58)</f>
        <v>0.91</v>
      </c>
      <c r="AO58" s="2">
        <f>AVERAGE(Q58,S58,U58)</f>
        <v>0.88666666666666671</v>
      </c>
      <c r="AP58" s="2">
        <f>AVERAGE(V58,Z58,AD58)</f>
        <v>0.89</v>
      </c>
      <c r="AQ58" s="2">
        <f>AVERAGE(W58,AA58,AE58)</f>
        <v>0.67</v>
      </c>
      <c r="AR58" s="2">
        <f>AVERAGE(X58,AB58,AF58)</f>
        <v>2.1599999999999997</v>
      </c>
      <c r="AS58" s="2">
        <f>AVERAGE(Y58,AC58,AG58)</f>
        <v>2.4066666666666667</v>
      </c>
      <c r="AT58" s="2">
        <f t="shared" si="2"/>
        <v>1.56</v>
      </c>
      <c r="AU58" s="2">
        <f t="shared" si="3"/>
        <v>4.5666666666666664</v>
      </c>
      <c r="AV58" s="2" t="e">
        <f>AVERAGE(AH58,AJ58,AL58)</f>
        <v>#DIV/0!</v>
      </c>
      <c r="AW58" s="2" t="e">
        <f>AVERAGE(AI58,AK58,AM58)</f>
        <v>#DIV/0!</v>
      </c>
    </row>
    <row r="59" spans="1:49" x14ac:dyDescent="0.3">
      <c r="A59" s="4" t="s">
        <v>176</v>
      </c>
      <c r="B59" s="2" t="s">
        <v>177</v>
      </c>
      <c r="C59" s="2" t="s">
        <v>179</v>
      </c>
      <c r="D59" s="1" t="s">
        <v>71</v>
      </c>
      <c r="E59" s="2" t="s">
        <v>186</v>
      </c>
      <c r="F59" s="2" t="s">
        <v>178</v>
      </c>
      <c r="G59" s="2" t="s">
        <v>183</v>
      </c>
      <c r="H59" s="1">
        <v>1485</v>
      </c>
      <c r="I59" s="1" t="s">
        <v>207</v>
      </c>
      <c r="J59" s="1"/>
      <c r="K59" s="1">
        <v>-5.0675942620000001</v>
      </c>
      <c r="L59" s="1">
        <v>-0.149435928</v>
      </c>
      <c r="M59" s="1">
        <v>0.73027046200000001</v>
      </c>
      <c r="N59" s="1">
        <v>3</v>
      </c>
      <c r="O59" s="2" t="s">
        <v>250</v>
      </c>
      <c r="P59" s="17">
        <v>0.88</v>
      </c>
      <c r="Q59" s="2">
        <v>0.88</v>
      </c>
      <c r="R59" s="2">
        <v>0.88</v>
      </c>
      <c r="S59" s="2">
        <v>0.88</v>
      </c>
      <c r="T59" s="2">
        <v>0.86</v>
      </c>
      <c r="U59" s="2">
        <v>0.86</v>
      </c>
      <c r="V59" s="2">
        <v>0.64</v>
      </c>
      <c r="W59" s="2">
        <v>0.46</v>
      </c>
      <c r="X59" s="2">
        <v>5.9</v>
      </c>
      <c r="Y59" s="2">
        <v>5.67</v>
      </c>
      <c r="Z59" s="2">
        <v>0.59</v>
      </c>
      <c r="AA59" s="2">
        <v>0.38</v>
      </c>
      <c r="AB59" s="2">
        <v>6.52</v>
      </c>
      <c r="AC59" s="2">
        <v>7.33</v>
      </c>
      <c r="AD59" s="2">
        <v>0.55000000000000004</v>
      </c>
      <c r="AE59" s="2">
        <v>0.32</v>
      </c>
      <c r="AF59" s="2">
        <v>8.94</v>
      </c>
      <c r="AG59" s="13">
        <v>11.21</v>
      </c>
      <c r="AN59" s="2">
        <f>AVERAGE(P59,R59,T59)</f>
        <v>0.87333333333333341</v>
      </c>
      <c r="AO59" s="2">
        <f>AVERAGE(Q59,S59,U59)</f>
        <v>0.87333333333333341</v>
      </c>
      <c r="AP59" s="2">
        <f>AVERAGE(V59,Z59,AD59)</f>
        <v>0.59333333333333338</v>
      </c>
      <c r="AQ59" s="2">
        <f>AVERAGE(W59,AA59,AE59)</f>
        <v>0.38666666666666671</v>
      </c>
      <c r="AR59" s="2">
        <f>AVERAGE(X59,AB59,AF59)</f>
        <v>7.12</v>
      </c>
      <c r="AS59" s="2">
        <f>AVERAGE(Y59,AC59,AG59)</f>
        <v>8.07</v>
      </c>
      <c r="AT59" s="2">
        <f t="shared" si="2"/>
        <v>0.98000000000000009</v>
      </c>
      <c r="AU59" s="2">
        <f t="shared" si="3"/>
        <v>15.190000000000001</v>
      </c>
      <c r="AV59" s="2" t="e">
        <f>AVERAGE(AH59,AJ59,AL59)</f>
        <v>#DIV/0!</v>
      </c>
      <c r="AW59" s="2" t="e">
        <f>AVERAGE(AI59,AK59,AM59)</f>
        <v>#DIV/0!</v>
      </c>
    </row>
    <row r="60" spans="1:49" x14ac:dyDescent="0.3">
      <c r="A60" s="7" t="s">
        <v>176</v>
      </c>
      <c r="B60" s="8" t="s">
        <v>177</v>
      </c>
      <c r="C60" s="8" t="s">
        <v>179</v>
      </c>
      <c r="D60" s="8" t="s">
        <v>179</v>
      </c>
      <c r="E60" s="8" t="s">
        <v>186</v>
      </c>
      <c r="F60" s="8" t="s">
        <v>178</v>
      </c>
      <c r="G60" s="37" t="s">
        <v>179</v>
      </c>
      <c r="H60" s="8">
        <v>1544</v>
      </c>
      <c r="I60" s="8" t="s">
        <v>206</v>
      </c>
      <c r="J60" s="8"/>
      <c r="K60" s="8">
        <v>2.0478127810000002</v>
      </c>
      <c r="L60" s="8">
        <v>-0.50584207999999997</v>
      </c>
      <c r="M60" s="8">
        <v>0.15445488299999999</v>
      </c>
      <c r="N60" s="8">
        <v>2</v>
      </c>
      <c r="O60" s="8" t="s">
        <v>249</v>
      </c>
      <c r="P60" s="18">
        <v>0.91</v>
      </c>
      <c r="Q60" s="8">
        <v>0.89</v>
      </c>
      <c r="R60" s="8">
        <v>0.87</v>
      </c>
      <c r="S60" s="8">
        <v>0.88</v>
      </c>
      <c r="T60" s="8">
        <v>0.79</v>
      </c>
      <c r="U60" s="8">
        <v>0.86</v>
      </c>
      <c r="V60" s="8">
        <v>0.76</v>
      </c>
      <c r="W60" s="8">
        <v>0.56000000000000005</v>
      </c>
      <c r="X60" s="8">
        <v>3.18</v>
      </c>
      <c r="Y60" s="8">
        <v>2.93</v>
      </c>
      <c r="Z60" s="8">
        <v>0.52</v>
      </c>
      <c r="AA60" s="8">
        <v>0.34</v>
      </c>
      <c r="AB60" s="8">
        <v>9.01</v>
      </c>
      <c r="AC60" s="8">
        <v>8.0500000000000007</v>
      </c>
      <c r="AD60" s="8">
        <v>0.38</v>
      </c>
      <c r="AE60" s="8">
        <v>0.18</v>
      </c>
      <c r="AF60" s="8">
        <v>15.33</v>
      </c>
      <c r="AG60" s="19">
        <v>14.77</v>
      </c>
      <c r="AH60" s="18"/>
      <c r="AI60" s="8"/>
      <c r="AJ60" s="8"/>
      <c r="AK60" s="8"/>
      <c r="AL60" s="8"/>
      <c r="AM60" s="19"/>
      <c r="AN60" s="2">
        <f>AVERAGE(P60,R60,T60)</f>
        <v>0.8566666666666668</v>
      </c>
      <c r="AO60" s="2">
        <f>AVERAGE(Q60,S60,U60)</f>
        <v>0.87666666666666659</v>
      </c>
      <c r="AP60" s="2">
        <f>AVERAGE(V60,Z60,AD60)</f>
        <v>0.55333333333333334</v>
      </c>
      <c r="AQ60" s="2">
        <f>AVERAGE(W60,AA60,AE60)</f>
        <v>0.36000000000000004</v>
      </c>
      <c r="AR60" s="2">
        <f>AVERAGE(X60,AB60,AF60)</f>
        <v>9.1733333333333338</v>
      </c>
      <c r="AS60" s="2">
        <f>AVERAGE(Y60,AC60,AG60)</f>
        <v>8.5833333333333339</v>
      </c>
      <c r="AT60" s="2">
        <f t="shared" si="2"/>
        <v>0.91333333333333333</v>
      </c>
      <c r="AU60" s="2">
        <f t="shared" si="3"/>
        <v>17.756666666666668</v>
      </c>
      <c r="AV60" s="2" t="e">
        <f>AVERAGE(AH60,AJ60,AL60)</f>
        <v>#DIV/0!</v>
      </c>
      <c r="AW60" s="2" t="e">
        <f>AVERAGE(AI60,AK60,AM60)</f>
        <v>#DIV/0!</v>
      </c>
    </row>
    <row r="61" spans="1:49" x14ac:dyDescent="0.3">
      <c r="A61" s="4" t="s">
        <v>176</v>
      </c>
      <c r="B61" s="2" t="s">
        <v>177</v>
      </c>
      <c r="C61" s="2" t="s">
        <v>179</v>
      </c>
      <c r="D61" s="1" t="s">
        <v>72</v>
      </c>
      <c r="E61" s="2" t="s">
        <v>186</v>
      </c>
      <c r="F61" s="2" t="s">
        <v>178</v>
      </c>
      <c r="G61" s="2" t="s">
        <v>183</v>
      </c>
      <c r="H61" s="1">
        <v>1584</v>
      </c>
      <c r="I61" s="1" t="s">
        <v>209</v>
      </c>
      <c r="J61" s="1"/>
      <c r="K61" s="1">
        <v>-7.284689599</v>
      </c>
      <c r="L61" s="1">
        <v>-0.13642152699999999</v>
      </c>
      <c r="M61" s="1">
        <v>0.751588849</v>
      </c>
      <c r="N61" s="1">
        <v>3</v>
      </c>
      <c r="O61" s="2" t="s">
        <v>250</v>
      </c>
      <c r="P61" s="17">
        <v>0.86</v>
      </c>
      <c r="Q61" s="2">
        <v>0.87</v>
      </c>
      <c r="R61" s="2">
        <v>0.82</v>
      </c>
      <c r="S61" s="2">
        <v>0.86</v>
      </c>
      <c r="T61" s="2">
        <v>0.87</v>
      </c>
      <c r="U61" s="2">
        <v>0.87</v>
      </c>
      <c r="V61" s="2">
        <v>0.52</v>
      </c>
      <c r="W61" s="2">
        <v>0.28999999999999998</v>
      </c>
      <c r="X61" s="2">
        <v>9.64</v>
      </c>
      <c r="Y61" s="2">
        <v>10.18</v>
      </c>
      <c r="Z61" s="2">
        <v>0.52</v>
      </c>
      <c r="AA61" s="2">
        <v>0.28000000000000003</v>
      </c>
      <c r="AB61" s="2">
        <v>8.6</v>
      </c>
      <c r="AC61" s="2">
        <v>11.01</v>
      </c>
      <c r="AD61" s="2">
        <v>0.61</v>
      </c>
      <c r="AE61" s="2">
        <v>0.37</v>
      </c>
      <c r="AF61" s="2">
        <v>7.29</v>
      </c>
      <c r="AG61" s="13">
        <v>9.17</v>
      </c>
      <c r="AN61" s="2">
        <f>AVERAGE(P61,R61,T61)</f>
        <v>0.85</v>
      </c>
      <c r="AO61" s="2">
        <f>AVERAGE(Q61,S61,U61)</f>
        <v>0.8666666666666667</v>
      </c>
      <c r="AP61" s="2">
        <f>AVERAGE(V61,Z61,AD61)</f>
        <v>0.54999999999999993</v>
      </c>
      <c r="AQ61" s="2">
        <f>AVERAGE(W61,AA61,AE61)</f>
        <v>0.31333333333333335</v>
      </c>
      <c r="AR61" s="2">
        <f>AVERAGE(X61,AB61,AF61)</f>
        <v>8.51</v>
      </c>
      <c r="AS61" s="2">
        <f>AVERAGE(Y61,AC61,AG61)</f>
        <v>10.119999999999999</v>
      </c>
      <c r="AT61" s="2">
        <f t="shared" si="2"/>
        <v>0.86333333333333329</v>
      </c>
      <c r="AU61" s="2">
        <f t="shared" si="3"/>
        <v>18.63</v>
      </c>
      <c r="AV61" s="2" t="e">
        <f>AVERAGE(AH61,AJ61,AL61)</f>
        <v>#DIV/0!</v>
      </c>
      <c r="AW61" s="2" t="e">
        <f>AVERAGE(AI61,AK61,AM61)</f>
        <v>#DIV/0!</v>
      </c>
    </row>
    <row r="62" spans="1:49" x14ac:dyDescent="0.3">
      <c r="A62" s="4" t="s">
        <v>176</v>
      </c>
      <c r="B62" s="2" t="s">
        <v>177</v>
      </c>
      <c r="C62" s="2" t="s">
        <v>179</v>
      </c>
      <c r="D62" s="1" t="s">
        <v>26</v>
      </c>
      <c r="E62" s="2" t="s">
        <v>186</v>
      </c>
      <c r="F62" s="2" t="s">
        <v>178</v>
      </c>
      <c r="G62" s="2" t="s">
        <v>181</v>
      </c>
      <c r="H62" s="1">
        <v>1633</v>
      </c>
      <c r="I62" s="1" t="s">
        <v>207</v>
      </c>
      <c r="J62" s="1"/>
      <c r="K62" s="1">
        <v>2.919258449</v>
      </c>
      <c r="L62" s="1">
        <v>9.6521891999999998E-2</v>
      </c>
      <c r="M62" s="1">
        <v>0.83433462999999997</v>
      </c>
      <c r="N62" s="1">
        <v>1</v>
      </c>
      <c r="O62" s="2" t="s">
        <v>249</v>
      </c>
      <c r="P62" s="17">
        <v>0.91</v>
      </c>
      <c r="Q62" s="2">
        <v>0.89</v>
      </c>
      <c r="R62" s="2">
        <v>0.92</v>
      </c>
      <c r="S62" s="2">
        <v>0.89</v>
      </c>
      <c r="T62" s="2">
        <v>0.9</v>
      </c>
      <c r="U62" s="2">
        <v>0.89</v>
      </c>
      <c r="V62" s="2">
        <v>0.9</v>
      </c>
      <c r="W62" s="2">
        <v>0.68</v>
      </c>
      <c r="X62" s="2">
        <v>2</v>
      </c>
      <c r="Y62" s="2">
        <v>2.16</v>
      </c>
      <c r="Z62" s="2">
        <v>0.88</v>
      </c>
      <c r="AA62" s="2">
        <v>0.67</v>
      </c>
      <c r="AB62" s="2">
        <v>1.93</v>
      </c>
      <c r="AC62" s="2">
        <v>2.0699999999999998</v>
      </c>
      <c r="AD62" s="2">
        <v>0.88</v>
      </c>
      <c r="AE62" s="2">
        <v>0.67</v>
      </c>
      <c r="AF62" s="2">
        <v>1.99</v>
      </c>
      <c r="AG62" s="13">
        <v>2.25</v>
      </c>
      <c r="AN62" s="2">
        <f>AVERAGE(P62,R62,T62)</f>
        <v>0.91</v>
      </c>
      <c r="AO62" s="2">
        <f>AVERAGE(Q62,S62,U62)</f>
        <v>0.89</v>
      </c>
      <c r="AP62" s="2">
        <f>AVERAGE(V62,Z62,AD62)</f>
        <v>0.88666666666666671</v>
      </c>
      <c r="AQ62" s="2">
        <f>AVERAGE(W62,AA62,AE62)</f>
        <v>0.67333333333333334</v>
      </c>
      <c r="AR62" s="2">
        <f>AVERAGE(X62,AB62,AF62)</f>
        <v>1.9733333333333334</v>
      </c>
      <c r="AS62" s="2">
        <f>AVERAGE(Y62,AC62,AG62)</f>
        <v>2.16</v>
      </c>
      <c r="AT62" s="2">
        <f t="shared" si="2"/>
        <v>1.56</v>
      </c>
      <c r="AU62" s="2">
        <f t="shared" si="3"/>
        <v>4.1333333333333337</v>
      </c>
      <c r="AV62" s="2" t="e">
        <f>AVERAGE(AH62,AJ62,AL62)</f>
        <v>#DIV/0!</v>
      </c>
      <c r="AW62" s="2" t="e">
        <f>AVERAGE(AI62,AK62,AM62)</f>
        <v>#DIV/0!</v>
      </c>
    </row>
    <row r="63" spans="1:49" x14ac:dyDescent="0.3">
      <c r="A63" s="7" t="s">
        <v>176</v>
      </c>
      <c r="B63" s="8" t="s">
        <v>177</v>
      </c>
      <c r="C63" s="8" t="s">
        <v>179</v>
      </c>
      <c r="D63" s="8" t="s">
        <v>179</v>
      </c>
      <c r="E63" s="8" t="s">
        <v>186</v>
      </c>
      <c r="F63" s="8" t="s">
        <v>178</v>
      </c>
      <c r="G63" s="37" t="s">
        <v>179</v>
      </c>
      <c r="H63" s="8">
        <v>1635</v>
      </c>
      <c r="I63" s="8" t="s">
        <v>206</v>
      </c>
      <c r="J63" s="8"/>
      <c r="K63" s="8">
        <v>4.365137786</v>
      </c>
      <c r="L63" s="8">
        <v>-0.31499556299999998</v>
      </c>
      <c r="M63" s="8">
        <v>0.41762116399999999</v>
      </c>
      <c r="N63" s="8">
        <v>2</v>
      </c>
      <c r="O63" s="8" t="s">
        <v>249</v>
      </c>
      <c r="P63" s="18">
        <v>0.91</v>
      </c>
      <c r="Q63" s="8">
        <v>0.89</v>
      </c>
      <c r="R63" s="8">
        <v>0.86</v>
      </c>
      <c r="S63" s="8">
        <v>0.87</v>
      </c>
      <c r="T63" s="8">
        <v>0.76</v>
      </c>
      <c r="U63" s="8">
        <v>0.85</v>
      </c>
      <c r="V63" s="8">
        <v>0.86</v>
      </c>
      <c r="W63" s="8">
        <v>0.63</v>
      </c>
      <c r="X63" s="8">
        <v>2.96</v>
      </c>
      <c r="Y63" s="8">
        <v>3</v>
      </c>
      <c r="Z63" s="8">
        <v>0.43</v>
      </c>
      <c r="AA63" s="8">
        <v>0.25</v>
      </c>
      <c r="AB63" s="8">
        <v>14.77</v>
      </c>
      <c r="AC63" s="8">
        <v>12.8</v>
      </c>
      <c r="AD63" s="8">
        <v>0.39</v>
      </c>
      <c r="AE63" s="8">
        <v>0.2</v>
      </c>
      <c r="AF63" s="8">
        <v>14.86</v>
      </c>
      <c r="AG63" s="19">
        <v>14.49</v>
      </c>
      <c r="AH63" s="18"/>
      <c r="AI63" s="8"/>
      <c r="AJ63" s="8"/>
      <c r="AK63" s="8"/>
      <c r="AL63" s="8"/>
      <c r="AM63" s="19"/>
      <c r="AN63" s="2">
        <f>AVERAGE(P63,R63,T63)</f>
        <v>0.84333333333333338</v>
      </c>
      <c r="AO63" s="2">
        <f>AVERAGE(Q63,S63,U63)</f>
        <v>0.87</v>
      </c>
      <c r="AP63" s="2">
        <f>AVERAGE(V63,Z63,AD63)</f>
        <v>0.56000000000000005</v>
      </c>
      <c r="AQ63" s="2">
        <f>AVERAGE(W63,AA63,AE63)</f>
        <v>0.36000000000000004</v>
      </c>
      <c r="AR63" s="2">
        <f>AVERAGE(X63,AB63,AF63)</f>
        <v>10.863333333333335</v>
      </c>
      <c r="AS63" s="2">
        <f>AVERAGE(Y63,AC63,AG63)</f>
        <v>10.096666666666666</v>
      </c>
      <c r="AT63" s="2">
        <f t="shared" si="2"/>
        <v>0.92000000000000015</v>
      </c>
      <c r="AU63" s="2">
        <f t="shared" si="3"/>
        <v>20.96</v>
      </c>
      <c r="AV63" s="2" t="e">
        <f>AVERAGE(AH63,AJ63,AL63)</f>
        <v>#DIV/0!</v>
      </c>
      <c r="AW63" s="2" t="e">
        <f>AVERAGE(AI63,AK63,AM63)</f>
        <v>#DIV/0!</v>
      </c>
    </row>
    <row r="64" spans="1:49" x14ac:dyDescent="0.3">
      <c r="A64" s="4" t="s">
        <v>176</v>
      </c>
      <c r="B64" s="2" t="s">
        <v>177</v>
      </c>
      <c r="C64" s="2" t="s">
        <v>179</v>
      </c>
      <c r="D64" s="1" t="s">
        <v>73</v>
      </c>
      <c r="E64" s="2" t="s">
        <v>186</v>
      </c>
      <c r="F64" s="2" t="s">
        <v>178</v>
      </c>
      <c r="G64" s="2" t="s">
        <v>183</v>
      </c>
      <c r="H64" s="1">
        <v>1665</v>
      </c>
      <c r="I64" s="1" t="s">
        <v>207</v>
      </c>
      <c r="J64" s="1"/>
      <c r="K64" s="1">
        <v>-4.7978798520000003</v>
      </c>
      <c r="L64" s="1">
        <v>-0.23253969799999999</v>
      </c>
      <c r="M64" s="1">
        <v>0.61997097199999995</v>
      </c>
      <c r="N64" s="1">
        <v>3</v>
      </c>
      <c r="O64" s="2" t="s">
        <v>250</v>
      </c>
      <c r="P64" s="17">
        <v>0.85</v>
      </c>
      <c r="Q64" s="2">
        <v>0.87</v>
      </c>
      <c r="R64" s="2">
        <v>0.85</v>
      </c>
      <c r="S64" s="2">
        <v>0.87</v>
      </c>
      <c r="T64" s="2">
        <v>0.87</v>
      </c>
      <c r="U64" s="2">
        <v>0.87</v>
      </c>
      <c r="V64" s="2">
        <v>0.45</v>
      </c>
      <c r="W64" s="2">
        <v>0.28999999999999998</v>
      </c>
      <c r="X64" s="2">
        <v>8.6300000000000008</v>
      </c>
      <c r="Y64" s="2">
        <v>10.54</v>
      </c>
      <c r="Z64" s="2">
        <v>0.56000000000000005</v>
      </c>
      <c r="AA64" s="2">
        <v>0.34</v>
      </c>
      <c r="AB64" s="2">
        <v>8.86</v>
      </c>
      <c r="AC64" s="2">
        <v>10.119999999999999</v>
      </c>
      <c r="AD64" s="2">
        <v>0.51</v>
      </c>
      <c r="AE64" s="2">
        <v>0.34</v>
      </c>
      <c r="AF64" s="2">
        <v>6.25</v>
      </c>
      <c r="AG64" s="13">
        <v>6.73</v>
      </c>
      <c r="AN64" s="2">
        <f>AVERAGE(P64,R64,T64)</f>
        <v>0.85666666666666658</v>
      </c>
      <c r="AO64" s="2">
        <f>AVERAGE(Q64,S64,U64)</f>
        <v>0.87</v>
      </c>
      <c r="AP64" s="2">
        <f>AVERAGE(V64,Z64,AD64)</f>
        <v>0.50666666666666671</v>
      </c>
      <c r="AQ64" s="2">
        <f>AVERAGE(W64,AA64,AE64)</f>
        <v>0.32333333333333331</v>
      </c>
      <c r="AR64" s="2">
        <f>AVERAGE(X64,AB64,AF64)</f>
        <v>7.913333333333334</v>
      </c>
      <c r="AS64" s="2">
        <f>AVERAGE(Y64,AC64,AG64)</f>
        <v>9.129999999999999</v>
      </c>
      <c r="AT64" s="2">
        <f t="shared" si="2"/>
        <v>0.83000000000000007</v>
      </c>
      <c r="AU64" s="2">
        <f t="shared" si="3"/>
        <v>17.043333333333333</v>
      </c>
      <c r="AV64" s="2" t="e">
        <f>AVERAGE(AH64,AJ64,AL64)</f>
        <v>#DIV/0!</v>
      </c>
      <c r="AW64" s="2" t="e">
        <f>AVERAGE(AI64,AK64,AM64)</f>
        <v>#DIV/0!</v>
      </c>
    </row>
    <row r="65" spans="1:49" x14ac:dyDescent="0.3">
      <c r="A65" s="7" t="s">
        <v>176</v>
      </c>
      <c r="B65" s="8" t="s">
        <v>177</v>
      </c>
      <c r="C65" s="8" t="s">
        <v>179</v>
      </c>
      <c r="D65" s="8" t="s">
        <v>179</v>
      </c>
      <c r="E65" s="8" t="s">
        <v>186</v>
      </c>
      <c r="F65" s="8" t="s">
        <v>178</v>
      </c>
      <c r="G65" s="37" t="s">
        <v>179</v>
      </c>
      <c r="H65" s="8">
        <v>1666</v>
      </c>
      <c r="I65" s="8" t="s">
        <v>207</v>
      </c>
      <c r="J65" s="8"/>
      <c r="K65" s="8">
        <v>2.3021172179999998</v>
      </c>
      <c r="L65" s="8">
        <v>-1.988707816</v>
      </c>
      <c r="M65" s="8">
        <v>4.7900000000000002E-9</v>
      </c>
      <c r="N65" s="8">
        <v>2</v>
      </c>
      <c r="O65" s="8" t="s">
        <v>248</v>
      </c>
      <c r="P65" s="18">
        <v>0.91</v>
      </c>
      <c r="Q65" s="8">
        <v>0.89</v>
      </c>
      <c r="R65" s="8">
        <v>0.92</v>
      </c>
      <c r="S65" s="8">
        <v>0.89</v>
      </c>
      <c r="T65" s="8">
        <v>0.91</v>
      </c>
      <c r="U65" s="8">
        <v>0.89</v>
      </c>
      <c r="V65" s="8">
        <v>0.87</v>
      </c>
      <c r="W65" s="8">
        <v>0.66</v>
      </c>
      <c r="X65" s="8">
        <v>2.17</v>
      </c>
      <c r="Y65" s="8">
        <v>2.34</v>
      </c>
      <c r="Z65" s="8">
        <v>0.87</v>
      </c>
      <c r="AA65" s="8">
        <v>0.65</v>
      </c>
      <c r="AB65" s="8">
        <v>2.12</v>
      </c>
      <c r="AC65" s="8">
        <v>2.17</v>
      </c>
      <c r="AD65" s="8">
        <v>0.89</v>
      </c>
      <c r="AE65" s="8">
        <v>0.67</v>
      </c>
      <c r="AF65" s="8">
        <v>2.16</v>
      </c>
      <c r="AG65" s="19">
        <v>2.29</v>
      </c>
      <c r="AH65" s="18"/>
      <c r="AI65" s="8"/>
      <c r="AJ65" s="8"/>
      <c r="AK65" s="8"/>
      <c r="AL65" s="8"/>
      <c r="AM65" s="19"/>
      <c r="AN65" s="2">
        <f>AVERAGE(P65,R65,T65)</f>
        <v>0.91333333333333344</v>
      </c>
      <c r="AO65" s="2">
        <f>AVERAGE(Q65,S65,U65)</f>
        <v>0.89</v>
      </c>
      <c r="AP65" s="2">
        <f>AVERAGE(V65,Z65,AD65)</f>
        <v>0.87666666666666659</v>
      </c>
      <c r="AQ65" s="2">
        <f>AVERAGE(W65,AA65,AE65)</f>
        <v>0.66</v>
      </c>
      <c r="AR65" s="2">
        <f>AVERAGE(X65,AB65,AF65)</f>
        <v>2.15</v>
      </c>
      <c r="AS65" s="2">
        <f>AVERAGE(Y65,AC65,AG65)</f>
        <v>2.2666666666666666</v>
      </c>
      <c r="AT65" s="2">
        <f t="shared" si="2"/>
        <v>1.5366666666666666</v>
      </c>
      <c r="AU65" s="2">
        <f t="shared" si="3"/>
        <v>4.4166666666666661</v>
      </c>
      <c r="AV65" s="2" t="e">
        <f>AVERAGE(AH65,AJ65,AL65)</f>
        <v>#DIV/0!</v>
      </c>
      <c r="AW65" s="2" t="e">
        <f>AVERAGE(AI65,AK65,AM65)</f>
        <v>#DIV/0!</v>
      </c>
    </row>
    <row r="66" spans="1:49" x14ac:dyDescent="0.3">
      <c r="A66" s="4" t="s">
        <v>176</v>
      </c>
      <c r="B66" s="2" t="s">
        <v>177</v>
      </c>
      <c r="C66" s="2" t="s">
        <v>179</v>
      </c>
      <c r="D66" s="1" t="s">
        <v>27</v>
      </c>
      <c r="E66" s="2" t="s">
        <v>186</v>
      </c>
      <c r="F66" s="2" t="s">
        <v>178</v>
      </c>
      <c r="G66" s="2" t="s">
        <v>181</v>
      </c>
      <c r="H66" s="1">
        <v>1667</v>
      </c>
      <c r="I66" s="1" t="s">
        <v>207</v>
      </c>
      <c r="J66" s="1"/>
      <c r="K66" s="1">
        <v>3.1519553280000001</v>
      </c>
      <c r="L66" s="1">
        <v>-1.189256815</v>
      </c>
      <c r="M66" s="1">
        <v>8.7698799999999999E-4</v>
      </c>
      <c r="N66" s="1">
        <v>1</v>
      </c>
      <c r="O66" s="2" t="s">
        <v>248</v>
      </c>
      <c r="P66" s="17">
        <v>0.91</v>
      </c>
      <c r="Q66" s="2">
        <v>0.89</v>
      </c>
      <c r="R66" s="2">
        <v>0.91</v>
      </c>
      <c r="S66" s="2">
        <v>0.89</v>
      </c>
      <c r="T66" s="2">
        <v>0.91</v>
      </c>
      <c r="U66" s="2">
        <v>0.89</v>
      </c>
      <c r="V66" s="2">
        <v>0.89</v>
      </c>
      <c r="W66" s="2">
        <v>0.67</v>
      </c>
      <c r="X66" s="2">
        <v>2.16</v>
      </c>
      <c r="Y66" s="2">
        <v>2.35</v>
      </c>
      <c r="Z66" s="2">
        <v>0.91</v>
      </c>
      <c r="AA66" s="2">
        <v>0.69</v>
      </c>
      <c r="AB66" s="2">
        <v>1.87</v>
      </c>
      <c r="AC66" s="2">
        <v>2.08</v>
      </c>
      <c r="AD66" s="2">
        <v>0.89</v>
      </c>
      <c r="AE66" s="2">
        <v>0.66</v>
      </c>
      <c r="AF66" s="2">
        <v>2.25</v>
      </c>
      <c r="AG66" s="13">
        <v>2.59</v>
      </c>
      <c r="AN66" s="2">
        <f>AVERAGE(P66,R66,T66)</f>
        <v>0.91</v>
      </c>
      <c r="AO66" s="2">
        <f>AVERAGE(Q66,S66,U66)</f>
        <v>0.89</v>
      </c>
      <c r="AP66" s="2">
        <f>AVERAGE(V66,Z66,AD66)</f>
        <v>0.89666666666666661</v>
      </c>
      <c r="AQ66" s="2">
        <f>AVERAGE(W66,AA66,AE66)</f>
        <v>0.67333333333333334</v>
      </c>
      <c r="AR66" s="2">
        <f>AVERAGE(X66,AB66,AF66)</f>
        <v>2.0933333333333333</v>
      </c>
      <c r="AS66" s="2">
        <f>AVERAGE(Y66,AC66,AG66)</f>
        <v>2.34</v>
      </c>
      <c r="AT66" s="2">
        <f t="shared" ref="AT66:AT92" si="4">SUM(AP66:AQ66)</f>
        <v>1.5699999999999998</v>
      </c>
      <c r="AU66" s="2">
        <f t="shared" ref="AU66:AU92" si="5">SUM(AR66:AS66)</f>
        <v>4.4333333333333336</v>
      </c>
      <c r="AV66" s="2" t="e">
        <f>AVERAGE(AH66,AJ66,AL66)</f>
        <v>#DIV/0!</v>
      </c>
      <c r="AW66" s="2" t="e">
        <f>AVERAGE(AI66,AK66,AM66)</f>
        <v>#DIV/0!</v>
      </c>
    </row>
    <row r="67" spans="1:49" x14ac:dyDescent="0.3">
      <c r="A67" s="4" t="s">
        <v>176</v>
      </c>
      <c r="B67" s="2" t="s">
        <v>177</v>
      </c>
      <c r="C67" s="2" t="s">
        <v>179</v>
      </c>
      <c r="D67" s="1" t="s">
        <v>74</v>
      </c>
      <c r="E67" s="2" t="s">
        <v>186</v>
      </c>
      <c r="F67" s="2" t="s">
        <v>178</v>
      </c>
      <c r="G67" s="2" t="s">
        <v>183</v>
      </c>
      <c r="H67" s="1">
        <v>1722</v>
      </c>
      <c r="I67" s="1" t="s">
        <v>207</v>
      </c>
      <c r="J67" s="1"/>
      <c r="K67" s="1">
        <v>-4.7061234519999999</v>
      </c>
      <c r="L67" s="1">
        <v>0.16307996899999999</v>
      </c>
      <c r="M67" s="1">
        <v>0.71710083899999999</v>
      </c>
      <c r="N67" s="1">
        <v>3</v>
      </c>
      <c r="O67" s="2" t="s">
        <v>250</v>
      </c>
      <c r="P67" s="17">
        <v>0.87</v>
      </c>
      <c r="Q67" s="2">
        <v>0.88</v>
      </c>
      <c r="R67" s="2">
        <v>0.84</v>
      </c>
      <c r="S67" s="2">
        <v>0.85</v>
      </c>
      <c r="T67" s="2">
        <v>0.87</v>
      </c>
      <c r="U67" s="2">
        <v>0.87</v>
      </c>
      <c r="V67" s="2">
        <v>0.61</v>
      </c>
      <c r="W67" s="2">
        <v>0.47</v>
      </c>
      <c r="X67" s="2">
        <v>7.59</v>
      </c>
      <c r="Y67" s="2">
        <v>6.15</v>
      </c>
      <c r="Z67" s="2">
        <v>0.48</v>
      </c>
      <c r="AA67" s="2">
        <v>0.3</v>
      </c>
      <c r="AB67" s="2">
        <v>13.25</v>
      </c>
      <c r="AC67" s="2">
        <v>11.12</v>
      </c>
      <c r="AD67" s="2">
        <v>0.49</v>
      </c>
      <c r="AE67" s="2">
        <v>0.31</v>
      </c>
      <c r="AF67" s="2">
        <v>9.36</v>
      </c>
      <c r="AG67" s="13">
        <v>8.48</v>
      </c>
      <c r="AN67" s="2">
        <f>AVERAGE(P67,R67,T67)</f>
        <v>0.86</v>
      </c>
      <c r="AO67" s="2">
        <f>AVERAGE(Q67,S67,U67)</f>
        <v>0.8666666666666667</v>
      </c>
      <c r="AP67" s="2">
        <f>AVERAGE(V67,Z67,AD67)</f>
        <v>0.52666666666666662</v>
      </c>
      <c r="AQ67" s="2">
        <f>AVERAGE(W67,AA67,AE67)</f>
        <v>0.36000000000000004</v>
      </c>
      <c r="AR67" s="2">
        <f>AVERAGE(X67,AB67,AF67)</f>
        <v>10.066666666666666</v>
      </c>
      <c r="AS67" s="2">
        <f>AVERAGE(Y67,AC67,AG67)</f>
        <v>8.5833333333333339</v>
      </c>
      <c r="AT67" s="2">
        <f t="shared" si="4"/>
        <v>0.88666666666666671</v>
      </c>
      <c r="AU67" s="2">
        <f t="shared" si="5"/>
        <v>18.649999999999999</v>
      </c>
      <c r="AV67" s="2" t="e">
        <f>AVERAGE(AH67,AJ67,AL67)</f>
        <v>#DIV/0!</v>
      </c>
      <c r="AW67" s="2" t="e">
        <f>AVERAGE(AI67,AK67,AM67)</f>
        <v>#DIV/0!</v>
      </c>
    </row>
    <row r="68" spans="1:49" x14ac:dyDescent="0.3">
      <c r="A68" s="4" t="s">
        <v>176</v>
      </c>
      <c r="B68" s="2" t="s">
        <v>177</v>
      </c>
      <c r="C68" s="2" t="s">
        <v>179</v>
      </c>
      <c r="D68" s="1" t="s">
        <v>75</v>
      </c>
      <c r="E68" s="2" t="s">
        <v>186</v>
      </c>
      <c r="F68" s="2" t="s">
        <v>178</v>
      </c>
      <c r="G68" s="2" t="s">
        <v>183</v>
      </c>
      <c r="H68" s="1">
        <v>1780</v>
      </c>
      <c r="I68" s="1" t="s">
        <v>207</v>
      </c>
      <c r="J68" s="1"/>
      <c r="K68" s="1">
        <v>-4.5197058410000004</v>
      </c>
      <c r="L68" s="1">
        <v>-0.175410911</v>
      </c>
      <c r="M68" s="1">
        <v>0.71275257000000003</v>
      </c>
      <c r="N68" s="1">
        <v>3</v>
      </c>
      <c r="O68" s="2" t="s">
        <v>250</v>
      </c>
      <c r="P68" s="17">
        <v>0.85</v>
      </c>
      <c r="Q68" s="2">
        <v>0.87</v>
      </c>
      <c r="R68" s="2">
        <v>0.87</v>
      </c>
      <c r="S68" s="2">
        <v>0.87</v>
      </c>
      <c r="T68" s="2">
        <v>0.87</v>
      </c>
      <c r="U68" s="2">
        <v>0.87</v>
      </c>
      <c r="V68" s="2">
        <v>0.41</v>
      </c>
      <c r="W68" s="2">
        <v>0.22</v>
      </c>
      <c r="X68" s="2">
        <v>11.76</v>
      </c>
      <c r="Y68" s="2">
        <v>13.5</v>
      </c>
      <c r="Z68" s="2">
        <v>0.46</v>
      </c>
      <c r="AA68" s="2">
        <v>0.26</v>
      </c>
      <c r="AB68" s="2">
        <v>11.83</v>
      </c>
      <c r="AC68" s="2">
        <v>10.02</v>
      </c>
      <c r="AD68" s="2">
        <v>0.52</v>
      </c>
      <c r="AE68" s="2">
        <v>0.32</v>
      </c>
      <c r="AF68" s="2">
        <v>7.48</v>
      </c>
      <c r="AG68" s="13">
        <v>7.87</v>
      </c>
      <c r="AN68" s="2">
        <f>AVERAGE(P68,R68,T68)</f>
        <v>0.86333333333333329</v>
      </c>
      <c r="AO68" s="2">
        <f>AVERAGE(Q68,S68,U68)</f>
        <v>0.87</v>
      </c>
      <c r="AP68" s="2">
        <f>AVERAGE(V68,Z68,AD68)</f>
        <v>0.46333333333333337</v>
      </c>
      <c r="AQ68" s="2">
        <f>AVERAGE(W68,AA68,AE68)</f>
        <v>0.26666666666666666</v>
      </c>
      <c r="AR68" s="2">
        <f>AVERAGE(X68,AB68,AF68)</f>
        <v>10.356666666666667</v>
      </c>
      <c r="AS68" s="2">
        <f>AVERAGE(Y68,AC68,AG68)</f>
        <v>10.463333333333333</v>
      </c>
      <c r="AT68" s="2">
        <f t="shared" si="4"/>
        <v>0.73</v>
      </c>
      <c r="AU68" s="2">
        <f t="shared" si="5"/>
        <v>20.82</v>
      </c>
      <c r="AV68" s="2" t="e">
        <f>AVERAGE(AH68,AJ68,AL68)</f>
        <v>#DIV/0!</v>
      </c>
      <c r="AW68" s="2" t="e">
        <f>AVERAGE(AI68,AK68,AM68)</f>
        <v>#DIV/0!</v>
      </c>
    </row>
    <row r="69" spans="1:49" x14ac:dyDescent="0.3">
      <c r="A69" s="4" t="s">
        <v>176</v>
      </c>
      <c r="B69" s="2" t="s">
        <v>177</v>
      </c>
      <c r="C69" s="2" t="s">
        <v>179</v>
      </c>
      <c r="D69" s="1" t="s">
        <v>76</v>
      </c>
      <c r="E69" s="2" t="s">
        <v>186</v>
      </c>
      <c r="F69" s="2" t="s">
        <v>178</v>
      </c>
      <c r="G69" s="2" t="s">
        <v>183</v>
      </c>
      <c r="H69" s="1">
        <v>1809</v>
      </c>
      <c r="I69" s="1" t="s">
        <v>207</v>
      </c>
      <c r="J69" s="1"/>
      <c r="K69" s="1">
        <v>-3.4016578970000002</v>
      </c>
      <c r="L69" s="1">
        <v>-4.2746445000000001E-2</v>
      </c>
      <c r="M69" s="1">
        <v>0.92050509700000005</v>
      </c>
      <c r="N69" s="1">
        <v>3</v>
      </c>
      <c r="O69" s="2" t="s">
        <v>250</v>
      </c>
      <c r="P69" s="17">
        <v>0.87</v>
      </c>
      <c r="Q69" s="2">
        <v>0.88</v>
      </c>
      <c r="R69" s="2">
        <v>0.87</v>
      </c>
      <c r="S69" s="2">
        <v>0.87</v>
      </c>
      <c r="T69" s="2">
        <v>0.87</v>
      </c>
      <c r="U69" s="2">
        <v>0.87</v>
      </c>
      <c r="V69" s="2">
        <v>0.56999999999999995</v>
      </c>
      <c r="W69" s="2">
        <v>0.34</v>
      </c>
      <c r="X69" s="2">
        <v>7.87</v>
      </c>
      <c r="Y69" s="2">
        <v>9.58</v>
      </c>
      <c r="Z69" s="2">
        <v>0.56999999999999995</v>
      </c>
      <c r="AA69" s="2">
        <v>0.36</v>
      </c>
      <c r="AB69" s="2">
        <v>7.7</v>
      </c>
      <c r="AC69" s="2">
        <v>9.4700000000000006</v>
      </c>
      <c r="AD69" s="2">
        <v>0.52</v>
      </c>
      <c r="AE69" s="2">
        <v>0.28999999999999998</v>
      </c>
      <c r="AF69" s="2">
        <v>10.050000000000001</v>
      </c>
      <c r="AG69" s="13">
        <v>11.2</v>
      </c>
      <c r="AN69" s="2">
        <f>AVERAGE(P69,R69,T69)</f>
        <v>0.87</v>
      </c>
      <c r="AO69" s="2">
        <f>AVERAGE(Q69,S69,U69)</f>
        <v>0.87333333333333341</v>
      </c>
      <c r="AP69" s="2">
        <f>AVERAGE(V69,Z69,AD69)</f>
        <v>0.55333333333333334</v>
      </c>
      <c r="AQ69" s="2">
        <f>AVERAGE(W69,AA69,AE69)</f>
        <v>0.33</v>
      </c>
      <c r="AR69" s="2">
        <f>AVERAGE(X69,AB69,AF69)</f>
        <v>8.5400000000000009</v>
      </c>
      <c r="AS69" s="2">
        <f>AVERAGE(Y69,AC69,AG69)</f>
        <v>10.083333333333334</v>
      </c>
      <c r="AT69" s="2">
        <f t="shared" si="4"/>
        <v>0.8833333333333333</v>
      </c>
      <c r="AU69" s="2">
        <f t="shared" si="5"/>
        <v>18.623333333333335</v>
      </c>
      <c r="AV69" s="2" t="e">
        <f>AVERAGE(AH69,AJ69,AL69)</f>
        <v>#DIV/0!</v>
      </c>
      <c r="AW69" s="2" t="e">
        <f>AVERAGE(AI69,AK69,AM69)</f>
        <v>#DIV/0!</v>
      </c>
    </row>
    <row r="70" spans="1:49" x14ac:dyDescent="0.3">
      <c r="A70" s="7" t="s">
        <v>176</v>
      </c>
      <c r="B70" s="8" t="s">
        <v>177</v>
      </c>
      <c r="C70" s="8" t="s">
        <v>179</v>
      </c>
      <c r="D70" s="8" t="s">
        <v>179</v>
      </c>
      <c r="E70" s="8" t="s">
        <v>186</v>
      </c>
      <c r="F70" s="8" t="s">
        <v>178</v>
      </c>
      <c r="G70" s="37" t="s">
        <v>179</v>
      </c>
      <c r="H70" s="8">
        <v>1810</v>
      </c>
      <c r="I70" s="8" t="s">
        <v>206</v>
      </c>
      <c r="J70" s="8"/>
      <c r="K70" s="8">
        <v>4.7653295929999997</v>
      </c>
      <c r="L70" s="8">
        <v>-1.7664919160000001</v>
      </c>
      <c r="M70" s="8">
        <v>2.45E-9</v>
      </c>
      <c r="N70" s="8">
        <v>2</v>
      </c>
      <c r="O70" s="8" t="s">
        <v>248</v>
      </c>
      <c r="P70" s="18">
        <v>0.82</v>
      </c>
      <c r="Q70" s="8">
        <v>0.87</v>
      </c>
      <c r="R70" s="8">
        <v>0.9</v>
      </c>
      <c r="S70" s="8">
        <v>0.89</v>
      </c>
      <c r="T70" s="8">
        <v>0.91</v>
      </c>
      <c r="U70" s="8">
        <v>0.89</v>
      </c>
      <c r="V70" s="8">
        <v>0.7</v>
      </c>
      <c r="W70" s="8">
        <v>0.41</v>
      </c>
      <c r="X70" s="8">
        <v>4.17</v>
      </c>
      <c r="Y70" s="8">
        <v>7.02</v>
      </c>
      <c r="Z70" s="8">
        <v>0.79</v>
      </c>
      <c r="AA70" s="8">
        <v>0.56999999999999995</v>
      </c>
      <c r="AB70" s="8">
        <v>3.63</v>
      </c>
      <c r="AC70" s="8">
        <v>3.7</v>
      </c>
      <c r="AD70" s="8">
        <v>0.82</v>
      </c>
      <c r="AE70" s="8">
        <v>0.61</v>
      </c>
      <c r="AF70" s="8">
        <v>2.89</v>
      </c>
      <c r="AG70" s="19">
        <v>2.67</v>
      </c>
      <c r="AH70" s="18"/>
      <c r="AI70" s="8"/>
      <c r="AJ70" s="8"/>
      <c r="AK70" s="8"/>
      <c r="AL70" s="8"/>
      <c r="AM70" s="19"/>
      <c r="AN70" s="2">
        <f>AVERAGE(P70,R70,T70)</f>
        <v>0.87666666666666659</v>
      </c>
      <c r="AO70" s="2">
        <f>AVERAGE(Q70,S70,U70)</f>
        <v>0.8833333333333333</v>
      </c>
      <c r="AP70" s="2">
        <f>AVERAGE(V70,Z70,AD70)</f>
        <v>0.77</v>
      </c>
      <c r="AQ70" s="2">
        <f>AVERAGE(W70,AA70,AE70)</f>
        <v>0.52999999999999992</v>
      </c>
      <c r="AR70" s="2">
        <f>AVERAGE(X70,AB70,AF70)</f>
        <v>3.563333333333333</v>
      </c>
      <c r="AS70" s="2">
        <f>AVERAGE(Y70,AC70,AG70)</f>
        <v>4.4633333333333329</v>
      </c>
      <c r="AT70" s="2">
        <f t="shared" si="4"/>
        <v>1.2999999999999998</v>
      </c>
      <c r="AU70" s="2">
        <f t="shared" si="5"/>
        <v>8.0266666666666655</v>
      </c>
      <c r="AV70" s="2" t="e">
        <f>AVERAGE(AH70,AJ70,AL70)</f>
        <v>#DIV/0!</v>
      </c>
      <c r="AW70" s="2" t="e">
        <f>AVERAGE(AI70,AK70,AM70)</f>
        <v>#DIV/0!</v>
      </c>
    </row>
    <row r="71" spans="1:49" x14ac:dyDescent="0.3">
      <c r="A71" s="4" t="s">
        <v>176</v>
      </c>
      <c r="B71" s="2" t="s">
        <v>177</v>
      </c>
      <c r="C71" s="2" t="s">
        <v>179</v>
      </c>
      <c r="D71" s="1" t="s">
        <v>28</v>
      </c>
      <c r="E71" s="2" t="s">
        <v>186</v>
      </c>
      <c r="F71" s="2" t="s">
        <v>178</v>
      </c>
      <c r="G71" s="2" t="s">
        <v>181</v>
      </c>
      <c r="H71" s="1">
        <v>1814</v>
      </c>
      <c r="I71" s="1" t="s">
        <v>206</v>
      </c>
      <c r="J71" s="1"/>
      <c r="K71" s="1">
        <v>3.7304105459999999</v>
      </c>
      <c r="L71" s="1">
        <v>-1.964217916</v>
      </c>
      <c r="M71" s="1">
        <v>1.9300000000000001E-16</v>
      </c>
      <c r="N71" s="1">
        <v>1</v>
      </c>
      <c r="O71" s="2" t="s">
        <v>248</v>
      </c>
      <c r="P71" s="17">
        <v>0.91</v>
      </c>
      <c r="Q71" s="2">
        <v>0.89</v>
      </c>
      <c r="R71" s="2">
        <v>0.92</v>
      </c>
      <c r="S71" s="2">
        <v>0.89</v>
      </c>
      <c r="T71" s="2">
        <v>0.91</v>
      </c>
      <c r="U71" s="2">
        <v>0.89</v>
      </c>
      <c r="V71" s="2">
        <v>0.91</v>
      </c>
      <c r="W71" s="2">
        <v>0.68</v>
      </c>
      <c r="X71" s="2">
        <v>1.72</v>
      </c>
      <c r="Y71" s="2">
        <v>2.02</v>
      </c>
      <c r="Z71" s="2">
        <v>0.91</v>
      </c>
      <c r="AA71" s="2">
        <v>0.69</v>
      </c>
      <c r="AB71" s="2">
        <v>1.66</v>
      </c>
      <c r="AC71" s="2">
        <v>1.85</v>
      </c>
      <c r="AD71" s="2">
        <v>0.9</v>
      </c>
      <c r="AE71" s="2">
        <v>0.67</v>
      </c>
      <c r="AF71" s="2">
        <v>1.8</v>
      </c>
      <c r="AG71" s="13">
        <v>2.23</v>
      </c>
      <c r="AN71" s="2">
        <f>AVERAGE(P71,R71,T71)</f>
        <v>0.91333333333333344</v>
      </c>
      <c r="AO71" s="2">
        <f>AVERAGE(Q71,S71,U71)</f>
        <v>0.89</v>
      </c>
      <c r="AP71" s="2">
        <f>AVERAGE(V71,Z71,AD71)</f>
        <v>0.90666666666666673</v>
      </c>
      <c r="AQ71" s="2">
        <f>AVERAGE(W71,AA71,AE71)</f>
        <v>0.68</v>
      </c>
      <c r="AR71" s="2">
        <f>AVERAGE(X71,AB71,AF71)</f>
        <v>1.7266666666666666</v>
      </c>
      <c r="AS71" s="2">
        <f>AVERAGE(Y71,AC71,AG71)</f>
        <v>2.0333333333333332</v>
      </c>
      <c r="AT71" s="2">
        <f t="shared" si="4"/>
        <v>1.5866666666666669</v>
      </c>
      <c r="AU71" s="2">
        <f t="shared" si="5"/>
        <v>3.76</v>
      </c>
      <c r="AV71" s="2" t="e">
        <f>AVERAGE(AH71,AJ71,AL71)</f>
        <v>#DIV/0!</v>
      </c>
      <c r="AW71" s="2" t="e">
        <f>AVERAGE(AI71,AK71,AM71)</f>
        <v>#DIV/0!</v>
      </c>
    </row>
    <row r="72" spans="1:49" x14ac:dyDescent="0.3">
      <c r="A72" s="4" t="s">
        <v>176</v>
      </c>
      <c r="B72" s="2" t="s">
        <v>177</v>
      </c>
      <c r="C72" s="2" t="s">
        <v>179</v>
      </c>
      <c r="D72" s="1" t="s">
        <v>29</v>
      </c>
      <c r="E72" s="2" t="s">
        <v>186</v>
      </c>
      <c r="F72" s="2" t="s">
        <v>178</v>
      </c>
      <c r="G72" s="2" t="s">
        <v>181</v>
      </c>
      <c r="H72" s="1">
        <v>1843</v>
      </c>
      <c r="I72" s="1" t="s">
        <v>206</v>
      </c>
      <c r="J72" s="1"/>
      <c r="K72" s="1">
        <v>6.9919999290000003</v>
      </c>
      <c r="L72" s="1">
        <v>-1.9490480370000001</v>
      </c>
      <c r="M72" s="1">
        <v>2.3500000000000002E-10</v>
      </c>
      <c r="N72" s="1">
        <v>1</v>
      </c>
      <c r="O72" s="2" t="s">
        <v>248</v>
      </c>
      <c r="P72" s="17">
        <v>0.92</v>
      </c>
      <c r="Q72" s="2">
        <v>0.89</v>
      </c>
      <c r="R72" s="2">
        <v>0.92</v>
      </c>
      <c r="S72" s="2">
        <v>0.9</v>
      </c>
      <c r="T72" s="2">
        <v>0.92</v>
      </c>
      <c r="U72" s="2">
        <v>0.89</v>
      </c>
      <c r="V72" s="2">
        <v>0.91</v>
      </c>
      <c r="W72" s="2">
        <v>0.71</v>
      </c>
      <c r="X72" s="2">
        <v>1.68</v>
      </c>
      <c r="Y72" s="2">
        <v>1.8</v>
      </c>
      <c r="Z72" s="2">
        <v>0.92</v>
      </c>
      <c r="AA72" s="2">
        <v>0.72</v>
      </c>
      <c r="AB72" s="2">
        <v>1.68</v>
      </c>
      <c r="AC72" s="2">
        <v>1.68</v>
      </c>
      <c r="AD72" s="2">
        <v>0.91</v>
      </c>
      <c r="AE72" s="2">
        <v>0.71</v>
      </c>
      <c r="AF72" s="2">
        <v>1.74</v>
      </c>
      <c r="AG72" s="13">
        <v>1.87</v>
      </c>
      <c r="AN72" s="2">
        <f>AVERAGE(P72,R72,T72)</f>
        <v>0.92</v>
      </c>
      <c r="AO72" s="2">
        <f>AVERAGE(Q72,S72,U72)</f>
        <v>0.89333333333333342</v>
      </c>
      <c r="AP72" s="2">
        <f>AVERAGE(V72,Z72,AD72)</f>
        <v>0.91333333333333344</v>
      </c>
      <c r="AQ72" s="2">
        <f>AVERAGE(W72,AA72,AE72)</f>
        <v>0.71333333333333326</v>
      </c>
      <c r="AR72" s="2">
        <f>AVERAGE(X72,AB72,AF72)</f>
        <v>1.7</v>
      </c>
      <c r="AS72" s="2">
        <f>AVERAGE(Y72,AC72,AG72)</f>
        <v>1.7833333333333332</v>
      </c>
      <c r="AT72" s="2">
        <f t="shared" si="4"/>
        <v>1.6266666666666667</v>
      </c>
      <c r="AU72" s="2">
        <f t="shared" si="5"/>
        <v>3.4833333333333334</v>
      </c>
      <c r="AV72" s="2" t="e">
        <f>AVERAGE(AH72,AJ72,AL72)</f>
        <v>#DIV/0!</v>
      </c>
      <c r="AW72" s="2" t="e">
        <f>AVERAGE(AI72,AK72,AM72)</f>
        <v>#DIV/0!</v>
      </c>
    </row>
    <row r="73" spans="1:49" x14ac:dyDescent="0.3">
      <c r="A73" s="7" t="s">
        <v>176</v>
      </c>
      <c r="B73" s="8" t="s">
        <v>177</v>
      </c>
      <c r="C73" s="8" t="s">
        <v>179</v>
      </c>
      <c r="D73" s="8" t="s">
        <v>179</v>
      </c>
      <c r="E73" s="8" t="s">
        <v>186</v>
      </c>
      <c r="F73" s="8" t="s">
        <v>178</v>
      </c>
      <c r="G73" s="37" t="s">
        <v>179</v>
      </c>
      <c r="H73" s="8">
        <v>1857</v>
      </c>
      <c r="I73" s="8" t="s">
        <v>207</v>
      </c>
      <c r="J73" s="8"/>
      <c r="K73" s="8">
        <v>4.0173615600000003</v>
      </c>
      <c r="L73" s="8">
        <v>5.0176947E-2</v>
      </c>
      <c r="M73" s="8">
        <v>0.86246237800000003</v>
      </c>
      <c r="N73" s="8">
        <v>2</v>
      </c>
      <c r="O73" s="8" t="s">
        <v>249</v>
      </c>
      <c r="P73" s="18">
        <v>0.91</v>
      </c>
      <c r="Q73" s="8">
        <v>0.89</v>
      </c>
      <c r="R73" s="8">
        <v>0.92</v>
      </c>
      <c r="S73" s="8">
        <v>0.89</v>
      </c>
      <c r="T73" s="8">
        <v>0.9</v>
      </c>
      <c r="U73" s="8">
        <v>0.88</v>
      </c>
      <c r="V73" s="8">
        <v>0.89</v>
      </c>
      <c r="W73" s="8">
        <v>0.67</v>
      </c>
      <c r="X73" s="8">
        <v>2.33</v>
      </c>
      <c r="Y73" s="8">
        <v>2.61</v>
      </c>
      <c r="Z73" s="8">
        <v>0.89</v>
      </c>
      <c r="AA73" s="8">
        <v>0.67</v>
      </c>
      <c r="AB73" s="8">
        <v>2.21</v>
      </c>
      <c r="AC73" s="8">
        <v>2.56</v>
      </c>
      <c r="AD73" s="8">
        <v>0.89</v>
      </c>
      <c r="AE73" s="8">
        <v>0.67</v>
      </c>
      <c r="AF73" s="8">
        <v>2.2999999999999998</v>
      </c>
      <c r="AG73" s="19">
        <v>2.59</v>
      </c>
      <c r="AH73" s="18"/>
      <c r="AI73" s="8"/>
      <c r="AJ73" s="8"/>
      <c r="AK73" s="8"/>
      <c r="AL73" s="8"/>
      <c r="AM73" s="19"/>
      <c r="AN73" s="2">
        <f>AVERAGE(P73,R73,T73)</f>
        <v>0.91</v>
      </c>
      <c r="AO73" s="2">
        <f>AVERAGE(Q73,S73,U73)</f>
        <v>0.88666666666666671</v>
      </c>
      <c r="AP73" s="2">
        <f>AVERAGE(V73,Z73,AD73)</f>
        <v>0.89</v>
      </c>
      <c r="AQ73" s="2">
        <f>AVERAGE(W73,AA73,AE73)</f>
        <v>0.67</v>
      </c>
      <c r="AR73" s="2">
        <f>AVERAGE(X73,AB73,AF73)</f>
        <v>2.2799999999999998</v>
      </c>
      <c r="AS73" s="2">
        <f>AVERAGE(Y73,AC73,AG73)</f>
        <v>2.5866666666666664</v>
      </c>
      <c r="AT73" s="2">
        <f t="shared" si="4"/>
        <v>1.56</v>
      </c>
      <c r="AU73" s="2">
        <f t="shared" si="5"/>
        <v>4.8666666666666663</v>
      </c>
      <c r="AV73" s="2" t="e">
        <f>AVERAGE(AH73,AJ73,AL73)</f>
        <v>#DIV/0!</v>
      </c>
      <c r="AW73" s="2" t="e">
        <f>AVERAGE(AI73,AK73,AM73)</f>
        <v>#DIV/0!</v>
      </c>
    </row>
    <row r="74" spans="1:49" x14ac:dyDescent="0.3">
      <c r="A74" s="4" t="s">
        <v>176</v>
      </c>
      <c r="B74" s="2" t="s">
        <v>177</v>
      </c>
      <c r="C74" s="2" t="s">
        <v>179</v>
      </c>
      <c r="D74" s="1" t="s">
        <v>77</v>
      </c>
      <c r="E74" s="2" t="s">
        <v>186</v>
      </c>
      <c r="F74" s="2" t="s">
        <v>178</v>
      </c>
      <c r="G74" s="2" t="s">
        <v>183</v>
      </c>
      <c r="H74" s="1">
        <v>1863</v>
      </c>
      <c r="I74" s="1" t="s">
        <v>207</v>
      </c>
      <c r="J74" s="1"/>
      <c r="K74" s="1">
        <v>-2.7865244109999998</v>
      </c>
      <c r="L74" s="1">
        <v>-0.50530377400000004</v>
      </c>
      <c r="M74" s="1">
        <v>0.22230950399999999</v>
      </c>
      <c r="N74" s="1">
        <v>3</v>
      </c>
      <c r="O74" s="2" t="s">
        <v>250</v>
      </c>
      <c r="P74" s="17">
        <v>0.85</v>
      </c>
      <c r="Q74" s="2">
        <v>0.87</v>
      </c>
      <c r="R74" s="2">
        <v>0.82</v>
      </c>
      <c r="S74" s="2">
        <v>0.86</v>
      </c>
      <c r="T74" s="2">
        <v>0.85</v>
      </c>
      <c r="U74" s="2">
        <v>0.86</v>
      </c>
      <c r="V74" s="2">
        <v>0.51</v>
      </c>
      <c r="W74" s="2">
        <v>0.28999999999999998</v>
      </c>
      <c r="X74" s="2">
        <v>8.18</v>
      </c>
      <c r="Y74" s="2">
        <v>10.8</v>
      </c>
      <c r="Z74" s="2">
        <v>0.54</v>
      </c>
      <c r="AA74" s="2">
        <v>0.31</v>
      </c>
      <c r="AB74" s="2">
        <v>7.8</v>
      </c>
      <c r="AC74" s="2">
        <v>12</v>
      </c>
      <c r="AD74" s="2">
        <v>0.48</v>
      </c>
      <c r="AE74" s="2">
        <v>0.26</v>
      </c>
      <c r="AF74" s="2">
        <v>10.49</v>
      </c>
      <c r="AG74" s="13">
        <v>10.64</v>
      </c>
      <c r="AN74" s="2">
        <f>AVERAGE(P74,R74,T74)</f>
        <v>0.84</v>
      </c>
      <c r="AO74" s="2">
        <f>AVERAGE(Q74,S74,U74)</f>
        <v>0.86333333333333329</v>
      </c>
      <c r="AP74" s="2">
        <f>AVERAGE(V74,Z74,AD74)</f>
        <v>0.51</v>
      </c>
      <c r="AQ74" s="2">
        <f>AVERAGE(W74,AA74,AE74)</f>
        <v>0.28666666666666668</v>
      </c>
      <c r="AR74" s="2">
        <f>AVERAGE(X74,AB74,AF74)</f>
        <v>8.8233333333333324</v>
      </c>
      <c r="AS74" s="2">
        <f>AVERAGE(Y74,AC74,AG74)</f>
        <v>11.146666666666667</v>
      </c>
      <c r="AT74" s="2">
        <f t="shared" si="4"/>
        <v>0.79666666666666663</v>
      </c>
      <c r="AU74" s="2">
        <f t="shared" si="5"/>
        <v>19.97</v>
      </c>
      <c r="AV74" s="2" t="e">
        <f>AVERAGE(AH74,AJ74,AL74)</f>
        <v>#DIV/0!</v>
      </c>
      <c r="AW74" s="2" t="e">
        <f>AVERAGE(AI74,AK74,AM74)</f>
        <v>#DIV/0!</v>
      </c>
    </row>
    <row r="75" spans="1:49" x14ac:dyDescent="0.3">
      <c r="A75" s="7" t="s">
        <v>176</v>
      </c>
      <c r="B75" s="8" t="s">
        <v>177</v>
      </c>
      <c r="C75" s="8" t="s">
        <v>179</v>
      </c>
      <c r="D75" s="8" t="s">
        <v>179</v>
      </c>
      <c r="E75" s="8" t="s">
        <v>186</v>
      </c>
      <c r="F75" s="8" t="s">
        <v>178</v>
      </c>
      <c r="G75" s="37" t="s">
        <v>179</v>
      </c>
      <c r="H75" s="8">
        <v>1877</v>
      </c>
      <c r="I75" s="8" t="s">
        <v>206</v>
      </c>
      <c r="J75" s="8"/>
      <c r="K75" s="8">
        <v>2.2494064869999999</v>
      </c>
      <c r="L75" s="8">
        <v>-0.81070486399999997</v>
      </c>
      <c r="M75" s="8">
        <v>1.3709555999999999E-2</v>
      </c>
      <c r="N75" s="8">
        <v>2</v>
      </c>
      <c r="O75" s="8" t="s">
        <v>249</v>
      </c>
      <c r="P75" s="18">
        <v>0.91</v>
      </c>
      <c r="Q75" s="8">
        <v>0.89</v>
      </c>
      <c r="R75" s="8">
        <v>0.91</v>
      </c>
      <c r="S75" s="8">
        <v>0.89</v>
      </c>
      <c r="T75" s="8">
        <v>0.91</v>
      </c>
      <c r="U75" s="8">
        <v>0.89</v>
      </c>
      <c r="V75" s="8">
        <v>0.85</v>
      </c>
      <c r="W75" s="8">
        <v>0.64</v>
      </c>
      <c r="X75" s="8">
        <v>2.78</v>
      </c>
      <c r="Y75" s="8">
        <v>2.94</v>
      </c>
      <c r="Z75" s="8">
        <v>0.87</v>
      </c>
      <c r="AA75" s="8">
        <v>0.65</v>
      </c>
      <c r="AB75" s="8">
        <v>2.69</v>
      </c>
      <c r="AC75" s="8">
        <v>2.82</v>
      </c>
      <c r="AD75" s="8">
        <v>0.83</v>
      </c>
      <c r="AE75" s="8">
        <v>0.62</v>
      </c>
      <c r="AF75" s="8">
        <v>2.78</v>
      </c>
      <c r="AG75" s="19">
        <v>2.69</v>
      </c>
      <c r="AH75" s="18"/>
      <c r="AI75" s="8"/>
      <c r="AJ75" s="8"/>
      <c r="AK75" s="8"/>
      <c r="AL75" s="8"/>
      <c r="AM75" s="19"/>
      <c r="AN75" s="2">
        <f>AVERAGE(P75,R75,T75)</f>
        <v>0.91</v>
      </c>
      <c r="AO75" s="2">
        <f>AVERAGE(Q75,S75,U75)</f>
        <v>0.89</v>
      </c>
      <c r="AP75" s="2">
        <f>AVERAGE(V75,Z75,AD75)</f>
        <v>0.85</v>
      </c>
      <c r="AQ75" s="2">
        <f>AVERAGE(W75,AA75,AE75)</f>
        <v>0.63666666666666671</v>
      </c>
      <c r="AR75" s="2">
        <f>AVERAGE(X75,AB75,AF75)</f>
        <v>2.75</v>
      </c>
      <c r="AS75" s="2">
        <f>AVERAGE(Y75,AC75,AG75)</f>
        <v>2.8166666666666664</v>
      </c>
      <c r="AT75" s="2">
        <f t="shared" si="4"/>
        <v>1.4866666666666668</v>
      </c>
      <c r="AU75" s="2">
        <f t="shared" si="5"/>
        <v>5.5666666666666664</v>
      </c>
      <c r="AV75" s="2" t="e">
        <f>AVERAGE(AH75,AJ75,AL75)</f>
        <v>#DIV/0!</v>
      </c>
      <c r="AW75" s="2" t="e">
        <f>AVERAGE(AI75,AK75,AM75)</f>
        <v>#DIV/0!</v>
      </c>
    </row>
    <row r="76" spans="1:49" x14ac:dyDescent="0.3">
      <c r="A76" s="4" t="s">
        <v>176</v>
      </c>
      <c r="B76" s="2" t="s">
        <v>177</v>
      </c>
      <c r="C76" s="2" t="s">
        <v>179</v>
      </c>
      <c r="D76" s="1" t="s">
        <v>30</v>
      </c>
      <c r="E76" s="2" t="s">
        <v>186</v>
      </c>
      <c r="F76" s="2" t="s">
        <v>178</v>
      </c>
      <c r="G76" s="2" t="s">
        <v>181</v>
      </c>
      <c r="H76" s="1">
        <v>1939</v>
      </c>
      <c r="I76" s="1" t="s">
        <v>207</v>
      </c>
      <c r="J76" s="1"/>
      <c r="K76" s="1">
        <v>3.6033350629999998</v>
      </c>
      <c r="L76" s="1">
        <v>-1.100912517</v>
      </c>
      <c r="M76" s="1">
        <v>2.5054080000000002E-3</v>
      </c>
      <c r="N76" s="1">
        <v>1</v>
      </c>
      <c r="O76" s="2" t="s">
        <v>248</v>
      </c>
      <c r="P76" s="17">
        <v>0.91</v>
      </c>
      <c r="Q76" s="2">
        <v>0.89</v>
      </c>
      <c r="R76" s="2">
        <v>0.91</v>
      </c>
      <c r="S76" s="2">
        <v>0.89</v>
      </c>
      <c r="T76" s="2">
        <v>0.91</v>
      </c>
      <c r="U76" s="2">
        <v>0.89</v>
      </c>
      <c r="V76" s="2">
        <v>0.9</v>
      </c>
      <c r="W76" s="2">
        <v>0.68</v>
      </c>
      <c r="X76" s="2">
        <v>2.0099999999999998</v>
      </c>
      <c r="Y76" s="2">
        <v>2.11</v>
      </c>
      <c r="Z76" s="2">
        <v>0.9</v>
      </c>
      <c r="AA76" s="2">
        <v>0.68</v>
      </c>
      <c r="AB76" s="2">
        <v>1.99</v>
      </c>
      <c r="AC76" s="2">
        <v>2.1800000000000002</v>
      </c>
      <c r="AD76" s="2">
        <v>0.9</v>
      </c>
      <c r="AE76" s="2">
        <v>0.68</v>
      </c>
      <c r="AF76" s="2">
        <v>1.96</v>
      </c>
      <c r="AG76" s="13">
        <v>2.21</v>
      </c>
      <c r="AN76" s="2">
        <f>AVERAGE(P76,R76,T76)</f>
        <v>0.91</v>
      </c>
      <c r="AO76" s="2">
        <f>AVERAGE(Q76,S76,U76)</f>
        <v>0.89</v>
      </c>
      <c r="AP76" s="2">
        <f>AVERAGE(V76,Z76,AD76)</f>
        <v>0.9</v>
      </c>
      <c r="AQ76" s="2">
        <f>AVERAGE(W76,AA76,AE76)</f>
        <v>0.68</v>
      </c>
      <c r="AR76" s="2">
        <f>AVERAGE(X76,AB76,AF76)</f>
        <v>1.9866666666666666</v>
      </c>
      <c r="AS76" s="2">
        <f>AVERAGE(Y76,AC76,AG76)</f>
        <v>2.1666666666666665</v>
      </c>
      <c r="AT76" s="2">
        <f t="shared" si="4"/>
        <v>1.58</v>
      </c>
      <c r="AU76" s="2">
        <f t="shared" si="5"/>
        <v>4.1533333333333333</v>
      </c>
      <c r="AV76" s="2" t="e">
        <f>AVERAGE(AH76,AJ76,AL76)</f>
        <v>#DIV/0!</v>
      </c>
      <c r="AW76" s="2" t="e">
        <f>AVERAGE(AI76,AK76,AM76)</f>
        <v>#DIV/0!</v>
      </c>
    </row>
    <row r="77" spans="1:49" x14ac:dyDescent="0.3">
      <c r="A77" s="4" t="s">
        <v>176</v>
      </c>
      <c r="B77" s="2" t="s">
        <v>177</v>
      </c>
      <c r="C77" s="2" t="s">
        <v>179</v>
      </c>
      <c r="D77" s="1" t="s">
        <v>31</v>
      </c>
      <c r="E77" s="2" t="s">
        <v>186</v>
      </c>
      <c r="F77" s="2" t="s">
        <v>178</v>
      </c>
      <c r="G77" s="2" t="s">
        <v>181</v>
      </c>
      <c r="H77" s="1">
        <v>1943</v>
      </c>
      <c r="I77" s="1" t="s">
        <v>206</v>
      </c>
      <c r="J77" s="1"/>
      <c r="K77" s="1">
        <v>4.5866170620000002</v>
      </c>
      <c r="L77" s="1">
        <v>-0.23174352300000001</v>
      </c>
      <c r="M77" s="1">
        <v>0.50809287700000005</v>
      </c>
      <c r="N77" s="1">
        <v>1</v>
      </c>
      <c r="O77" s="2" t="s">
        <v>249</v>
      </c>
      <c r="P77" s="17">
        <v>0.92</v>
      </c>
      <c r="Q77" s="2">
        <v>0.89</v>
      </c>
      <c r="R77" s="2">
        <v>0.92</v>
      </c>
      <c r="S77" s="2">
        <v>0.9</v>
      </c>
      <c r="T77" s="2">
        <v>0.91</v>
      </c>
      <c r="U77" s="2">
        <v>0.89</v>
      </c>
      <c r="V77" s="2">
        <v>0.89</v>
      </c>
      <c r="W77" s="2">
        <v>0.68</v>
      </c>
      <c r="X77" s="2">
        <v>1.83</v>
      </c>
      <c r="Y77" s="2">
        <v>1.92</v>
      </c>
      <c r="Z77" s="2">
        <v>0.9</v>
      </c>
      <c r="AA77" s="2">
        <v>0.69</v>
      </c>
      <c r="AB77" s="2">
        <v>1.64</v>
      </c>
      <c r="AC77" s="2">
        <v>1.8</v>
      </c>
      <c r="AD77" s="2">
        <v>0.89</v>
      </c>
      <c r="AE77" s="2">
        <v>0.68</v>
      </c>
      <c r="AF77" s="2">
        <v>1.77</v>
      </c>
      <c r="AG77" s="13">
        <v>2.0299999999999998</v>
      </c>
      <c r="AN77" s="2">
        <f>AVERAGE(P77,R77,T77)</f>
        <v>0.91666666666666663</v>
      </c>
      <c r="AO77" s="2">
        <f>AVERAGE(Q77,S77,U77)</f>
        <v>0.89333333333333342</v>
      </c>
      <c r="AP77" s="2">
        <f>AVERAGE(V77,Z77,AD77)</f>
        <v>0.89333333333333342</v>
      </c>
      <c r="AQ77" s="2">
        <f>AVERAGE(W77,AA77,AE77)</f>
        <v>0.68333333333333346</v>
      </c>
      <c r="AR77" s="2">
        <f>AVERAGE(X77,AB77,AF77)</f>
        <v>1.7466666666666668</v>
      </c>
      <c r="AS77" s="2">
        <f>AVERAGE(Y77,AC77,AG77)</f>
        <v>1.9166666666666667</v>
      </c>
      <c r="AT77" s="2">
        <f t="shared" si="4"/>
        <v>1.5766666666666669</v>
      </c>
      <c r="AU77" s="2">
        <f t="shared" si="5"/>
        <v>3.6633333333333336</v>
      </c>
      <c r="AV77" s="2" t="e">
        <f>AVERAGE(AH77,AJ77,AL77)</f>
        <v>#DIV/0!</v>
      </c>
      <c r="AW77" s="2" t="e">
        <f>AVERAGE(AI77,AK77,AM77)</f>
        <v>#DIV/0!</v>
      </c>
    </row>
    <row r="78" spans="1:49" s="39" customFormat="1" x14ac:dyDescent="0.3">
      <c r="A78" s="4" t="s">
        <v>176</v>
      </c>
      <c r="B78" s="2" t="s">
        <v>177</v>
      </c>
      <c r="C78" s="2" t="s">
        <v>179</v>
      </c>
      <c r="D78" s="1" t="s">
        <v>78</v>
      </c>
      <c r="E78" s="2" t="s">
        <v>186</v>
      </c>
      <c r="F78" s="2" t="s">
        <v>178</v>
      </c>
      <c r="G78" s="37" t="s">
        <v>183</v>
      </c>
      <c r="H78" s="1">
        <v>1949</v>
      </c>
      <c r="I78" s="1" t="s">
        <v>210</v>
      </c>
      <c r="J78" s="1"/>
      <c r="K78" s="1">
        <v>-4.1399523289999998</v>
      </c>
      <c r="L78" s="1">
        <v>-0.428582933</v>
      </c>
      <c r="M78" s="1">
        <v>0.31209340200000002</v>
      </c>
      <c r="N78" s="1">
        <v>3</v>
      </c>
      <c r="O78" s="2" t="s">
        <v>251</v>
      </c>
      <c r="P78" s="17">
        <v>0.86</v>
      </c>
      <c r="Q78" s="2">
        <v>0.87</v>
      </c>
      <c r="R78" s="2">
        <v>0.85</v>
      </c>
      <c r="S78" s="2">
        <v>0.87</v>
      </c>
      <c r="T78" s="2">
        <v>0.86</v>
      </c>
      <c r="U78" s="2">
        <v>0.87</v>
      </c>
      <c r="V78" s="2">
        <v>0.56000000000000005</v>
      </c>
      <c r="W78" s="2">
        <v>0.3</v>
      </c>
      <c r="X78" s="2">
        <v>9.14</v>
      </c>
      <c r="Y78" s="2">
        <v>11.67</v>
      </c>
      <c r="Z78" s="2">
        <v>0.57999999999999996</v>
      </c>
      <c r="AA78" s="2">
        <v>0.33</v>
      </c>
      <c r="AB78" s="2">
        <v>7.31</v>
      </c>
      <c r="AC78" s="2">
        <v>11.24</v>
      </c>
      <c r="AD78" s="2">
        <v>0.55000000000000004</v>
      </c>
      <c r="AE78" s="2">
        <v>0.31</v>
      </c>
      <c r="AF78" s="2">
        <v>9.5</v>
      </c>
      <c r="AG78" s="13">
        <v>10.28</v>
      </c>
      <c r="AH78" s="17"/>
      <c r="AI78" s="2"/>
      <c r="AJ78" s="2"/>
      <c r="AK78" s="2"/>
      <c r="AL78" s="2"/>
      <c r="AM78" s="13"/>
      <c r="AN78" s="39">
        <f>AVERAGE(P78,R78,T78)</f>
        <v>0.85666666666666658</v>
      </c>
      <c r="AO78" s="39">
        <f>AVERAGE(Q78,S78,U78)</f>
        <v>0.87</v>
      </c>
      <c r="AP78" s="39">
        <f>AVERAGE(V78,Z78,AD78)</f>
        <v>0.56333333333333335</v>
      </c>
      <c r="AQ78" s="39">
        <f>AVERAGE(W78,AA78,AE78)</f>
        <v>0.3133333333333333</v>
      </c>
      <c r="AR78" s="39">
        <f>AVERAGE(X78,AB78,AF78)</f>
        <v>8.65</v>
      </c>
      <c r="AS78" s="39">
        <f>AVERAGE(Y78,AC78,AG78)</f>
        <v>11.063333333333333</v>
      </c>
      <c r="AT78" s="39">
        <f t="shared" si="4"/>
        <v>0.87666666666666671</v>
      </c>
      <c r="AU78" s="39">
        <f t="shared" si="5"/>
        <v>19.713333333333331</v>
      </c>
      <c r="AV78" s="39" t="e">
        <f>AVERAGE(AH78,AJ78,AL78)</f>
        <v>#DIV/0!</v>
      </c>
      <c r="AW78" s="39" t="e">
        <f>AVERAGE(AI78,AK78,AM78)</f>
        <v>#DIV/0!</v>
      </c>
    </row>
    <row r="79" spans="1:49" s="39" customFormat="1" x14ac:dyDescent="0.3">
      <c r="A79" s="4" t="s">
        <v>176</v>
      </c>
      <c r="B79" s="2" t="s">
        <v>177</v>
      </c>
      <c r="C79" s="2" t="s">
        <v>179</v>
      </c>
      <c r="D79" s="1" t="s">
        <v>79</v>
      </c>
      <c r="E79" s="2" t="s">
        <v>186</v>
      </c>
      <c r="F79" s="2" t="s">
        <v>178</v>
      </c>
      <c r="G79" s="2" t="s">
        <v>183</v>
      </c>
      <c r="H79" s="1">
        <v>1952</v>
      </c>
      <c r="I79" s="1" t="s">
        <v>206</v>
      </c>
      <c r="J79" s="1"/>
      <c r="K79" s="1">
        <v>-2.2600899829999999</v>
      </c>
      <c r="L79" s="1">
        <v>-7.12526E-4</v>
      </c>
      <c r="M79" s="1">
        <v>0.99798426799999995</v>
      </c>
      <c r="N79" s="1">
        <v>3</v>
      </c>
      <c r="O79" s="2" t="s">
        <v>250</v>
      </c>
      <c r="P79" s="17">
        <v>0.83</v>
      </c>
      <c r="Q79" s="2">
        <v>0.87</v>
      </c>
      <c r="R79" s="2">
        <v>0.86</v>
      </c>
      <c r="S79" s="2">
        <v>0.87</v>
      </c>
      <c r="T79" s="2">
        <v>0.86</v>
      </c>
      <c r="U79" s="2">
        <v>0.87</v>
      </c>
      <c r="V79" s="2">
        <v>0.57999999999999996</v>
      </c>
      <c r="W79" s="2">
        <v>0.32</v>
      </c>
      <c r="X79" s="2">
        <v>6.99</v>
      </c>
      <c r="Y79" s="2">
        <v>12.59</v>
      </c>
      <c r="Z79" s="2">
        <v>0.55000000000000004</v>
      </c>
      <c r="AA79" s="2">
        <v>0.3</v>
      </c>
      <c r="AB79" s="2">
        <v>7.55</v>
      </c>
      <c r="AC79" s="2">
        <v>14.51</v>
      </c>
      <c r="AD79" s="2">
        <v>0.57999999999999996</v>
      </c>
      <c r="AE79" s="2">
        <v>0.34</v>
      </c>
      <c r="AF79" s="2">
        <v>7.41</v>
      </c>
      <c r="AG79" s="13">
        <v>11.3</v>
      </c>
      <c r="AH79" s="17"/>
      <c r="AI79" s="2"/>
      <c r="AJ79" s="2"/>
      <c r="AK79" s="2"/>
      <c r="AL79" s="2"/>
      <c r="AM79" s="13"/>
      <c r="AN79" s="39">
        <f>AVERAGE(P79,R79,T79)</f>
        <v>0.85</v>
      </c>
      <c r="AO79" s="39">
        <f>AVERAGE(Q79,S79,U79)</f>
        <v>0.87</v>
      </c>
      <c r="AP79" s="39">
        <f>AVERAGE(V79,Z79,AD79)</f>
        <v>0.56999999999999995</v>
      </c>
      <c r="AQ79" s="39">
        <f>AVERAGE(W79,AA79,AE79)</f>
        <v>0.32</v>
      </c>
      <c r="AR79" s="39">
        <f>AVERAGE(X79,AB79,AF79)</f>
        <v>7.3166666666666664</v>
      </c>
      <c r="AS79" s="39">
        <f>AVERAGE(Y79,AC79,AG79)</f>
        <v>12.800000000000002</v>
      </c>
      <c r="AT79" s="39">
        <f t="shared" si="4"/>
        <v>0.8899999999999999</v>
      </c>
      <c r="AU79" s="39">
        <f t="shared" si="5"/>
        <v>20.116666666666667</v>
      </c>
      <c r="AV79" s="39" t="e">
        <f>AVERAGE(AH79,AJ79,AL79)</f>
        <v>#DIV/0!</v>
      </c>
      <c r="AW79" s="39" t="e">
        <f>AVERAGE(AI79,AK79,AM79)</f>
        <v>#DIV/0!</v>
      </c>
    </row>
    <row r="80" spans="1:49" s="39" customFormat="1" x14ac:dyDescent="0.3">
      <c r="A80" s="4" t="s">
        <v>176</v>
      </c>
      <c r="B80" s="2" t="s">
        <v>177</v>
      </c>
      <c r="C80" s="2" t="s">
        <v>179</v>
      </c>
      <c r="D80" s="1" t="s">
        <v>32</v>
      </c>
      <c r="E80" s="2" t="s">
        <v>186</v>
      </c>
      <c r="F80" s="2" t="s">
        <v>178</v>
      </c>
      <c r="G80" s="2" t="s">
        <v>181</v>
      </c>
      <c r="H80" s="1">
        <v>1983</v>
      </c>
      <c r="I80" s="1" t="s">
        <v>206</v>
      </c>
      <c r="J80" s="1"/>
      <c r="K80" s="1">
        <v>6.2211897350000003</v>
      </c>
      <c r="L80" s="1">
        <v>-1.9889529619999999</v>
      </c>
      <c r="M80" s="1">
        <v>7.7200000000000006E-9</v>
      </c>
      <c r="N80" s="1">
        <v>1</v>
      </c>
      <c r="O80" s="2" t="s">
        <v>248</v>
      </c>
      <c r="P80" s="17">
        <v>0.89</v>
      </c>
      <c r="Q80" s="2">
        <v>0.88</v>
      </c>
      <c r="R80" s="2">
        <v>0.91</v>
      </c>
      <c r="S80" s="2">
        <v>0.89</v>
      </c>
      <c r="T80" s="2">
        <v>0.91</v>
      </c>
      <c r="U80" s="2">
        <v>0.89</v>
      </c>
      <c r="V80" s="2">
        <v>0.88</v>
      </c>
      <c r="W80" s="2">
        <v>0.61</v>
      </c>
      <c r="X80" s="2">
        <v>2.04</v>
      </c>
      <c r="Y80" s="2">
        <v>2.93</v>
      </c>
      <c r="Z80" s="2">
        <v>0.87</v>
      </c>
      <c r="AA80" s="2">
        <v>0.64</v>
      </c>
      <c r="AB80" s="2">
        <v>1.95</v>
      </c>
      <c r="AC80" s="2">
        <v>2.5099999999999998</v>
      </c>
      <c r="AD80" s="2">
        <v>0.88</v>
      </c>
      <c r="AE80" s="2">
        <v>0.66</v>
      </c>
      <c r="AF80" s="2">
        <v>1.99</v>
      </c>
      <c r="AG80" s="13">
        <v>2.37</v>
      </c>
      <c r="AH80" s="17"/>
      <c r="AI80" s="2"/>
      <c r="AJ80" s="2"/>
      <c r="AK80" s="2"/>
      <c r="AL80" s="2"/>
      <c r="AM80" s="13"/>
      <c r="AN80" s="39">
        <f>AVERAGE(P80,R80,T80)</f>
        <v>0.90333333333333332</v>
      </c>
      <c r="AO80" s="39">
        <f>AVERAGE(Q80,S80,U80)</f>
        <v>0.88666666666666671</v>
      </c>
      <c r="AP80" s="39">
        <f>AVERAGE(V80,Z80,AD80)</f>
        <v>0.87666666666666659</v>
      </c>
      <c r="AQ80" s="39">
        <f>AVERAGE(W80,AA80,AE80)</f>
        <v>0.63666666666666671</v>
      </c>
      <c r="AR80" s="39">
        <f>AVERAGE(X80,AB80,AF80)</f>
        <v>1.9933333333333334</v>
      </c>
      <c r="AS80" s="39">
        <f>AVERAGE(Y80,AC80,AG80)</f>
        <v>2.6033333333333331</v>
      </c>
      <c r="AT80" s="39">
        <f t="shared" si="4"/>
        <v>1.5133333333333332</v>
      </c>
      <c r="AU80" s="39">
        <f t="shared" si="5"/>
        <v>4.5966666666666667</v>
      </c>
      <c r="AV80" s="39" t="e">
        <f>AVERAGE(AH80,AJ80,AL80)</f>
        <v>#DIV/0!</v>
      </c>
      <c r="AW80" s="39" t="e">
        <f>AVERAGE(AI80,AK80,AM80)</f>
        <v>#DIV/0!</v>
      </c>
    </row>
    <row r="81" spans="1:49" s="39" customFormat="1" x14ac:dyDescent="0.3">
      <c r="A81" s="4" t="s">
        <v>176</v>
      </c>
      <c r="B81" s="2" t="s">
        <v>177</v>
      </c>
      <c r="C81" s="2" t="s">
        <v>179</v>
      </c>
      <c r="D81" s="1" t="s">
        <v>80</v>
      </c>
      <c r="E81" s="2" t="s">
        <v>186</v>
      </c>
      <c r="F81" s="2" t="s">
        <v>178</v>
      </c>
      <c r="G81" s="2" t="s">
        <v>183</v>
      </c>
      <c r="H81" s="1">
        <v>2001</v>
      </c>
      <c r="I81" s="1" t="s">
        <v>209</v>
      </c>
      <c r="J81" s="1"/>
      <c r="K81" s="1">
        <v>-3.6643482760000001</v>
      </c>
      <c r="L81" s="1">
        <v>-0.30388810100000002</v>
      </c>
      <c r="M81" s="1">
        <v>0.50809287700000005</v>
      </c>
      <c r="N81" s="1">
        <v>3</v>
      </c>
      <c r="O81" s="2" t="s">
        <v>250</v>
      </c>
      <c r="P81" s="17">
        <v>0.86</v>
      </c>
      <c r="Q81" s="2">
        <v>0.87</v>
      </c>
      <c r="R81" s="2">
        <v>0.83</v>
      </c>
      <c r="S81" s="2">
        <v>0.87</v>
      </c>
      <c r="T81" s="2">
        <v>0.83</v>
      </c>
      <c r="U81" s="2">
        <v>0.86</v>
      </c>
      <c r="V81" s="2">
        <v>0.54</v>
      </c>
      <c r="W81" s="2">
        <v>0.3</v>
      </c>
      <c r="X81" s="2">
        <v>8.36</v>
      </c>
      <c r="Y81" s="2">
        <v>8.9499999999999993</v>
      </c>
      <c r="Z81" s="2">
        <v>0.42</v>
      </c>
      <c r="AA81" s="2">
        <v>0.24</v>
      </c>
      <c r="AB81" s="2">
        <v>12.12</v>
      </c>
      <c r="AC81" s="2">
        <v>12.83</v>
      </c>
      <c r="AD81" s="2">
        <v>0.46</v>
      </c>
      <c r="AE81" s="2">
        <v>0.27</v>
      </c>
      <c r="AF81" s="2">
        <v>12.16</v>
      </c>
      <c r="AG81" s="13">
        <v>12.59</v>
      </c>
      <c r="AH81" s="17"/>
      <c r="AI81" s="2"/>
      <c r="AJ81" s="2"/>
      <c r="AK81" s="2"/>
      <c r="AL81" s="2"/>
      <c r="AM81" s="13"/>
      <c r="AN81" s="39">
        <f>AVERAGE(P81,R81,T81)</f>
        <v>0.84</v>
      </c>
      <c r="AO81" s="39">
        <f>AVERAGE(Q81,S81,U81)</f>
        <v>0.8666666666666667</v>
      </c>
      <c r="AP81" s="39">
        <f>AVERAGE(V81,Z81,AD81)</f>
        <v>0.47333333333333333</v>
      </c>
      <c r="AQ81" s="39">
        <f>AVERAGE(W81,AA81,AE81)</f>
        <v>0.27</v>
      </c>
      <c r="AR81" s="39">
        <f>AVERAGE(X81,AB81,AF81)</f>
        <v>10.88</v>
      </c>
      <c r="AS81" s="39">
        <f>AVERAGE(Y81,AC81,AG81)</f>
        <v>11.456666666666669</v>
      </c>
      <c r="AT81" s="39">
        <f t="shared" si="4"/>
        <v>0.7433333333333334</v>
      </c>
      <c r="AU81" s="39">
        <f t="shared" si="5"/>
        <v>22.33666666666667</v>
      </c>
      <c r="AV81" s="39" t="e">
        <f>AVERAGE(AH81,AJ81,AL81)</f>
        <v>#DIV/0!</v>
      </c>
      <c r="AW81" s="39" t="e">
        <f>AVERAGE(AI81,AK81,AM81)</f>
        <v>#DIV/0!</v>
      </c>
    </row>
    <row r="82" spans="1:49" s="39" customFormat="1" x14ac:dyDescent="0.3">
      <c r="A82" s="4" t="s">
        <v>176</v>
      </c>
      <c r="B82" s="2" t="s">
        <v>177</v>
      </c>
      <c r="C82" s="2" t="s">
        <v>179</v>
      </c>
      <c r="D82" s="1" t="s">
        <v>81</v>
      </c>
      <c r="E82" s="2" t="s">
        <v>186</v>
      </c>
      <c r="F82" s="2" t="s">
        <v>178</v>
      </c>
      <c r="G82" s="2" t="s">
        <v>183</v>
      </c>
      <c r="H82" s="1">
        <v>2002</v>
      </c>
      <c r="I82" s="1" t="s">
        <v>207</v>
      </c>
      <c r="J82" s="1"/>
      <c r="K82" s="1">
        <v>-4.1299595440000001</v>
      </c>
      <c r="L82" s="1">
        <v>0.28624688300000001</v>
      </c>
      <c r="M82" s="1">
        <v>0.51111454099999998</v>
      </c>
      <c r="N82" s="1">
        <v>3</v>
      </c>
      <c r="O82" s="2" t="s">
        <v>250</v>
      </c>
      <c r="P82" s="17">
        <v>0.87</v>
      </c>
      <c r="Q82" s="2">
        <v>0.88</v>
      </c>
      <c r="R82" s="2">
        <v>0.88</v>
      </c>
      <c r="S82" s="2">
        <v>0.87</v>
      </c>
      <c r="T82" s="2">
        <v>0.88</v>
      </c>
      <c r="U82" s="2">
        <v>0.88</v>
      </c>
      <c r="V82" s="2">
        <v>0.61</v>
      </c>
      <c r="W82" s="2">
        <v>0.36</v>
      </c>
      <c r="X82" s="2">
        <v>7.23</v>
      </c>
      <c r="Y82" s="2">
        <v>9.11</v>
      </c>
      <c r="Z82" s="2">
        <v>0.73</v>
      </c>
      <c r="AA82" s="2">
        <v>0.44</v>
      </c>
      <c r="AB82" s="2">
        <v>4.5999999999999996</v>
      </c>
      <c r="AC82" s="2">
        <v>7.61</v>
      </c>
      <c r="AD82" s="2">
        <v>0.63</v>
      </c>
      <c r="AE82" s="2">
        <v>0.38</v>
      </c>
      <c r="AF82" s="2">
        <v>6.93</v>
      </c>
      <c r="AG82" s="13">
        <v>8.83</v>
      </c>
      <c r="AH82" s="17"/>
      <c r="AI82" s="2"/>
      <c r="AJ82" s="2"/>
      <c r="AK82" s="2"/>
      <c r="AL82" s="2"/>
      <c r="AM82" s="13"/>
      <c r="AN82" s="39">
        <f>AVERAGE(P82,R82,T82)</f>
        <v>0.87666666666666659</v>
      </c>
      <c r="AO82" s="39">
        <f>AVERAGE(Q82,S82,U82)</f>
        <v>0.87666666666666659</v>
      </c>
      <c r="AP82" s="39">
        <f>AVERAGE(V82,Z82,AD82)</f>
        <v>0.65666666666666662</v>
      </c>
      <c r="AQ82" s="39">
        <f>AVERAGE(W82,AA82,AE82)</f>
        <v>0.39333333333333337</v>
      </c>
      <c r="AR82" s="39">
        <f>AVERAGE(X82,AB82,AF82)</f>
        <v>6.253333333333333</v>
      </c>
      <c r="AS82" s="39">
        <f>AVERAGE(Y82,AC82,AG82)</f>
        <v>8.5166666666666657</v>
      </c>
      <c r="AT82" s="39">
        <f t="shared" si="4"/>
        <v>1.05</v>
      </c>
      <c r="AU82" s="39">
        <f t="shared" si="5"/>
        <v>14.77</v>
      </c>
      <c r="AV82" s="39" t="e">
        <f>AVERAGE(AH82,AJ82,AL82)</f>
        <v>#DIV/0!</v>
      </c>
      <c r="AW82" s="39" t="e">
        <f>AVERAGE(AI82,AK82,AM82)</f>
        <v>#DIV/0!</v>
      </c>
    </row>
    <row r="83" spans="1:49" s="39" customFormat="1" x14ac:dyDescent="0.3">
      <c r="A83" s="4" t="s">
        <v>176</v>
      </c>
      <c r="B83" s="2" t="s">
        <v>177</v>
      </c>
      <c r="C83" s="2" t="s">
        <v>179</v>
      </c>
      <c r="D83" s="1" t="s">
        <v>82</v>
      </c>
      <c r="E83" s="2" t="s">
        <v>186</v>
      </c>
      <c r="F83" s="2" t="s">
        <v>178</v>
      </c>
      <c r="G83" s="37" t="s">
        <v>183</v>
      </c>
      <c r="H83" s="1">
        <v>2003</v>
      </c>
      <c r="I83" s="1" t="s">
        <v>207</v>
      </c>
      <c r="J83" s="1"/>
      <c r="K83" s="1">
        <v>-4.3892823219999997</v>
      </c>
      <c r="L83" s="1">
        <v>-0.40742575800000003</v>
      </c>
      <c r="M83" s="1">
        <v>0.364917186</v>
      </c>
      <c r="N83" s="1">
        <v>3</v>
      </c>
      <c r="O83" s="2" t="s">
        <v>251</v>
      </c>
      <c r="P83" s="17">
        <v>0.74</v>
      </c>
      <c r="Q83" s="2">
        <v>0.85</v>
      </c>
      <c r="R83" s="2">
        <v>0.85</v>
      </c>
      <c r="S83" s="2">
        <v>0.87</v>
      </c>
      <c r="T83" s="2">
        <v>0.79</v>
      </c>
      <c r="U83" s="2">
        <v>0.86</v>
      </c>
      <c r="V83" s="2">
        <v>0.56999999999999995</v>
      </c>
      <c r="W83" s="2">
        <v>0.34</v>
      </c>
      <c r="X83" s="2">
        <v>5.18</v>
      </c>
      <c r="Y83" s="2">
        <v>8.83</v>
      </c>
      <c r="Z83" s="2">
        <v>0.55000000000000004</v>
      </c>
      <c r="AA83" s="2">
        <v>0.32</v>
      </c>
      <c r="AB83" s="2">
        <v>6.69</v>
      </c>
      <c r="AC83" s="2">
        <v>10.36</v>
      </c>
      <c r="AD83" s="2">
        <v>0.51</v>
      </c>
      <c r="AE83" s="2">
        <v>0.27</v>
      </c>
      <c r="AF83" s="2">
        <v>7.55</v>
      </c>
      <c r="AG83" s="13">
        <v>12.98</v>
      </c>
      <c r="AH83" s="17"/>
      <c r="AI83" s="2"/>
      <c r="AJ83" s="2"/>
      <c r="AK83" s="2"/>
      <c r="AL83" s="2"/>
      <c r="AM83" s="13"/>
      <c r="AN83" s="39">
        <f>AVERAGE(P83,R83,T83)</f>
        <v>0.79333333333333333</v>
      </c>
      <c r="AO83" s="39">
        <f>AVERAGE(Q83,S83,U83)</f>
        <v>0.86</v>
      </c>
      <c r="AP83" s="39">
        <f>AVERAGE(V83,Z83,AD83)</f>
        <v>0.54333333333333333</v>
      </c>
      <c r="AQ83" s="39">
        <f>AVERAGE(W83,AA83,AE83)</f>
        <v>0.31</v>
      </c>
      <c r="AR83" s="39">
        <f>AVERAGE(X83,AB83,AF83)</f>
        <v>6.4733333333333336</v>
      </c>
      <c r="AS83" s="39">
        <f>AVERAGE(Y83,AC83,AG83)</f>
        <v>10.723333333333334</v>
      </c>
      <c r="AT83" s="39">
        <f t="shared" si="4"/>
        <v>0.85333333333333328</v>
      </c>
      <c r="AU83" s="39">
        <f t="shared" si="5"/>
        <v>17.196666666666669</v>
      </c>
      <c r="AV83" s="39" t="e">
        <f>AVERAGE(AH83,AJ83,AL83)</f>
        <v>#DIV/0!</v>
      </c>
      <c r="AW83" s="39" t="e">
        <f>AVERAGE(AI83,AK83,AM83)</f>
        <v>#DIV/0!</v>
      </c>
    </row>
    <row r="84" spans="1:49" s="39" customFormat="1" x14ac:dyDescent="0.3">
      <c r="A84" s="4" t="s">
        <v>176</v>
      </c>
      <c r="B84" s="2" t="s">
        <v>177</v>
      </c>
      <c r="C84" s="2" t="s">
        <v>179</v>
      </c>
      <c r="D84" s="1" t="s">
        <v>83</v>
      </c>
      <c r="E84" s="2" t="s">
        <v>186</v>
      </c>
      <c r="F84" s="2" t="s">
        <v>178</v>
      </c>
      <c r="G84" s="37" t="s">
        <v>183</v>
      </c>
      <c r="H84" s="1">
        <v>2004</v>
      </c>
      <c r="I84" s="1" t="s">
        <v>207</v>
      </c>
      <c r="J84" s="1"/>
      <c r="K84" s="1">
        <v>-5.0138108150000003</v>
      </c>
      <c r="L84" s="1">
        <v>-0.19511365999999999</v>
      </c>
      <c r="M84" s="1">
        <v>0.66662011399999999</v>
      </c>
      <c r="N84" s="1">
        <v>3</v>
      </c>
      <c r="O84" s="2" t="s">
        <v>251</v>
      </c>
      <c r="P84" s="17">
        <v>0.86</v>
      </c>
      <c r="Q84" s="2">
        <v>0.87</v>
      </c>
      <c r="R84" s="2">
        <v>0.83</v>
      </c>
      <c r="S84" s="2">
        <v>0.86</v>
      </c>
      <c r="T84" s="2">
        <v>0.87</v>
      </c>
      <c r="U84" s="2">
        <v>0.87</v>
      </c>
      <c r="V84" s="2">
        <v>0.51</v>
      </c>
      <c r="W84" s="2">
        <v>0.3</v>
      </c>
      <c r="X84" s="2">
        <v>9.6999999999999993</v>
      </c>
      <c r="Y84" s="2">
        <v>10.97</v>
      </c>
      <c r="Z84" s="2">
        <v>0.47</v>
      </c>
      <c r="AA84" s="2">
        <v>0.28999999999999998</v>
      </c>
      <c r="AB84" s="2">
        <v>9.92</v>
      </c>
      <c r="AC84" s="2">
        <v>10.06</v>
      </c>
      <c r="AD84" s="2">
        <v>0.55000000000000004</v>
      </c>
      <c r="AE84" s="2">
        <v>0.34</v>
      </c>
      <c r="AF84" s="2">
        <v>7.88</v>
      </c>
      <c r="AG84" s="13">
        <v>8.11</v>
      </c>
      <c r="AH84" s="17"/>
      <c r="AI84" s="2"/>
      <c r="AJ84" s="2"/>
      <c r="AK84" s="2"/>
      <c r="AL84" s="2"/>
      <c r="AM84" s="13"/>
      <c r="AN84" s="39">
        <f>AVERAGE(P84,R84,T84)</f>
        <v>0.85333333333333339</v>
      </c>
      <c r="AO84" s="39">
        <f>AVERAGE(Q84,S84,U84)</f>
        <v>0.8666666666666667</v>
      </c>
      <c r="AP84" s="39">
        <f>AVERAGE(V84,Z84,AD84)</f>
        <v>0.51</v>
      </c>
      <c r="AQ84" s="39">
        <f>AVERAGE(W84,AA84,AE84)</f>
        <v>0.31</v>
      </c>
      <c r="AR84" s="39">
        <f>AVERAGE(X84,AB84,AF84)</f>
        <v>9.1666666666666661</v>
      </c>
      <c r="AS84" s="39">
        <f>AVERAGE(Y84,AC84,AG84)</f>
        <v>9.7133333333333329</v>
      </c>
      <c r="AT84" s="39">
        <f t="shared" si="4"/>
        <v>0.82000000000000006</v>
      </c>
      <c r="AU84" s="39">
        <f t="shared" si="5"/>
        <v>18.88</v>
      </c>
      <c r="AV84" s="39" t="e">
        <f>AVERAGE(AH84,AJ84,AL84)</f>
        <v>#DIV/0!</v>
      </c>
      <c r="AW84" s="39" t="e">
        <f>AVERAGE(AI84,AK84,AM84)</f>
        <v>#DIV/0!</v>
      </c>
    </row>
    <row r="85" spans="1:49" s="39" customFormat="1" x14ac:dyDescent="0.3">
      <c r="A85" s="4" t="s">
        <v>176</v>
      </c>
      <c r="B85" s="2" t="s">
        <v>177</v>
      </c>
      <c r="C85" s="2" t="s">
        <v>179</v>
      </c>
      <c r="D85" s="1" t="s">
        <v>84</v>
      </c>
      <c r="E85" s="2" t="s">
        <v>186</v>
      </c>
      <c r="F85" s="2" t="s">
        <v>178</v>
      </c>
      <c r="G85" s="2" t="s">
        <v>183</v>
      </c>
      <c r="H85" s="1">
        <v>2005</v>
      </c>
      <c r="I85" s="1" t="s">
        <v>207</v>
      </c>
      <c r="J85" s="1"/>
      <c r="K85" s="1">
        <v>-5.3148039640000002</v>
      </c>
      <c r="L85" s="1">
        <v>-0.164329752</v>
      </c>
      <c r="M85" s="1">
        <v>0.71710083899999999</v>
      </c>
      <c r="N85" s="1">
        <v>3</v>
      </c>
      <c r="O85" s="2" t="s">
        <v>250</v>
      </c>
      <c r="P85" s="17">
        <v>0.88</v>
      </c>
      <c r="Q85" s="2">
        <v>0.88</v>
      </c>
      <c r="R85" s="2">
        <v>0.82</v>
      </c>
      <c r="S85" s="2">
        <v>0.86</v>
      </c>
      <c r="T85" s="2">
        <v>0.87</v>
      </c>
      <c r="U85" s="2">
        <v>0.87</v>
      </c>
      <c r="V85" s="2">
        <v>0.71</v>
      </c>
      <c r="W85" s="2">
        <v>0.44</v>
      </c>
      <c r="X85" s="2">
        <v>4.3</v>
      </c>
      <c r="Y85" s="2">
        <v>7.06</v>
      </c>
      <c r="Z85" s="2">
        <v>0.69</v>
      </c>
      <c r="AA85" s="2">
        <v>0.38</v>
      </c>
      <c r="AB85" s="2">
        <v>3.94</v>
      </c>
      <c r="AC85" s="2">
        <v>8.6300000000000008</v>
      </c>
      <c r="AD85" s="2">
        <v>0.65</v>
      </c>
      <c r="AE85" s="2">
        <v>0.38</v>
      </c>
      <c r="AF85" s="2">
        <v>5.51</v>
      </c>
      <c r="AG85" s="13">
        <v>8.14</v>
      </c>
      <c r="AH85" s="17"/>
      <c r="AI85" s="2"/>
      <c r="AJ85" s="2"/>
      <c r="AK85" s="2"/>
      <c r="AL85" s="2"/>
      <c r="AM85" s="13"/>
      <c r="AN85" s="39">
        <f>AVERAGE(P85,R85,T85)</f>
        <v>0.85666666666666658</v>
      </c>
      <c r="AO85" s="39">
        <f>AVERAGE(Q85,S85,U85)</f>
        <v>0.87</v>
      </c>
      <c r="AP85" s="39">
        <f>AVERAGE(V85,Z85,AD85)</f>
        <v>0.68333333333333324</v>
      </c>
      <c r="AQ85" s="39">
        <f>AVERAGE(W85,AA85,AE85)</f>
        <v>0.40000000000000008</v>
      </c>
      <c r="AR85" s="39">
        <f>AVERAGE(X85,AB85,AF85)</f>
        <v>4.583333333333333</v>
      </c>
      <c r="AS85" s="39">
        <f>AVERAGE(Y85,AC85,AG85)</f>
        <v>7.9433333333333342</v>
      </c>
      <c r="AT85" s="39">
        <f t="shared" si="4"/>
        <v>1.0833333333333333</v>
      </c>
      <c r="AU85" s="39">
        <f t="shared" si="5"/>
        <v>12.526666666666667</v>
      </c>
      <c r="AV85" s="39" t="e">
        <f>AVERAGE(AH85,AJ85,AL85)</f>
        <v>#DIV/0!</v>
      </c>
      <c r="AW85" s="39" t="e">
        <f>AVERAGE(AI85,AK85,AM85)</f>
        <v>#DIV/0!</v>
      </c>
    </row>
    <row r="86" spans="1:49" s="39" customFormat="1" x14ac:dyDescent="0.3">
      <c r="A86" s="4" t="s">
        <v>176</v>
      </c>
      <c r="B86" s="2" t="s">
        <v>177</v>
      </c>
      <c r="C86" s="2" t="s">
        <v>179</v>
      </c>
      <c r="D86" s="1" t="s">
        <v>85</v>
      </c>
      <c r="E86" s="2" t="s">
        <v>186</v>
      </c>
      <c r="F86" s="2" t="s">
        <v>178</v>
      </c>
      <c r="G86" s="2" t="s">
        <v>183</v>
      </c>
      <c r="H86" s="1">
        <v>2006</v>
      </c>
      <c r="I86" s="1" t="s">
        <v>207</v>
      </c>
      <c r="J86" s="1"/>
      <c r="K86" s="1">
        <v>-4.4372711210000002</v>
      </c>
      <c r="L86" s="1">
        <v>-0.26635711299999998</v>
      </c>
      <c r="M86" s="1">
        <v>0.55681044899999999</v>
      </c>
      <c r="N86" s="1">
        <v>3</v>
      </c>
      <c r="O86" s="2" t="s">
        <v>250</v>
      </c>
      <c r="P86" s="17">
        <v>0.89</v>
      </c>
      <c r="Q86" s="2">
        <v>0.88</v>
      </c>
      <c r="R86" s="2">
        <v>0.89</v>
      </c>
      <c r="S86" s="2">
        <v>0.88</v>
      </c>
      <c r="T86" s="2">
        <v>0.89</v>
      </c>
      <c r="U86" s="2">
        <v>0.87</v>
      </c>
      <c r="V86" s="2">
        <v>0.77</v>
      </c>
      <c r="W86" s="2">
        <v>0.5</v>
      </c>
      <c r="X86" s="2">
        <v>3.18</v>
      </c>
      <c r="Y86" s="2">
        <v>5.0999999999999996</v>
      </c>
      <c r="Z86" s="2">
        <v>0.79</v>
      </c>
      <c r="AA86" s="2">
        <v>0.52</v>
      </c>
      <c r="AB86" s="2">
        <v>2.87</v>
      </c>
      <c r="AC86" s="2">
        <v>4.67</v>
      </c>
      <c r="AD86" s="2">
        <v>0.76</v>
      </c>
      <c r="AE86" s="2">
        <v>0.47</v>
      </c>
      <c r="AF86" s="2">
        <v>3.51</v>
      </c>
      <c r="AG86" s="13">
        <v>5.87</v>
      </c>
      <c r="AH86" s="17"/>
      <c r="AI86" s="2"/>
      <c r="AJ86" s="2"/>
      <c r="AK86" s="2"/>
      <c r="AL86" s="2"/>
      <c r="AM86" s="13"/>
      <c r="AN86" s="39">
        <f>AVERAGE(P86,R86,T86)</f>
        <v>0.89</v>
      </c>
      <c r="AO86" s="39">
        <f>AVERAGE(Q86,S86,U86)</f>
        <v>0.87666666666666659</v>
      </c>
      <c r="AP86" s="39">
        <f>AVERAGE(V86,Z86,AD86)</f>
        <v>0.77333333333333343</v>
      </c>
      <c r="AQ86" s="39">
        <f>AVERAGE(W86,AA86,AE86)</f>
        <v>0.49666666666666665</v>
      </c>
      <c r="AR86" s="39">
        <f>AVERAGE(X86,AB86,AF86)</f>
        <v>3.186666666666667</v>
      </c>
      <c r="AS86" s="39">
        <f>AVERAGE(Y86,AC86,AG86)</f>
        <v>5.2133333333333338</v>
      </c>
      <c r="AT86" s="39">
        <f t="shared" si="4"/>
        <v>1.27</v>
      </c>
      <c r="AU86" s="39">
        <f t="shared" si="5"/>
        <v>8.4</v>
      </c>
      <c r="AV86" s="39" t="e">
        <f>AVERAGE(AH86,AJ86,AL86)</f>
        <v>#DIV/0!</v>
      </c>
      <c r="AW86" s="39" t="e">
        <f>AVERAGE(AI86,AK86,AM86)</f>
        <v>#DIV/0!</v>
      </c>
    </row>
    <row r="87" spans="1:49" s="39" customFormat="1" x14ac:dyDescent="0.3">
      <c r="A87" s="4" t="s">
        <v>176</v>
      </c>
      <c r="B87" s="2" t="s">
        <v>177</v>
      </c>
      <c r="C87" s="2" t="s">
        <v>179</v>
      </c>
      <c r="D87" s="1" t="s">
        <v>86</v>
      </c>
      <c r="E87" s="2" t="s">
        <v>186</v>
      </c>
      <c r="F87" s="2" t="s">
        <v>178</v>
      </c>
      <c r="G87" s="2" t="s">
        <v>183</v>
      </c>
      <c r="H87" s="1">
        <v>2007</v>
      </c>
      <c r="I87" s="1" t="s">
        <v>207</v>
      </c>
      <c r="J87" s="1"/>
      <c r="K87" s="1">
        <v>-5.8328715039999999</v>
      </c>
      <c r="L87" s="1">
        <v>-9.6023696000000006E-2</v>
      </c>
      <c r="M87" s="1">
        <v>0.83433462999999997</v>
      </c>
      <c r="N87" s="1">
        <v>3</v>
      </c>
      <c r="O87" s="2" t="s">
        <v>250</v>
      </c>
      <c r="P87" s="17">
        <v>0.83</v>
      </c>
      <c r="Q87" s="2">
        <v>0.86</v>
      </c>
      <c r="R87" s="2">
        <v>0.76</v>
      </c>
      <c r="S87" s="2">
        <v>0.84</v>
      </c>
      <c r="T87" s="2">
        <v>0.83</v>
      </c>
      <c r="U87" s="2">
        <v>0.86</v>
      </c>
      <c r="V87" s="2">
        <v>0.49</v>
      </c>
      <c r="W87" s="2">
        <v>0.25</v>
      </c>
      <c r="X87" s="2">
        <v>10.85</v>
      </c>
      <c r="Y87" s="2">
        <v>12.5</v>
      </c>
      <c r="Z87" s="2">
        <v>0.46</v>
      </c>
      <c r="AA87" s="2">
        <v>0.23</v>
      </c>
      <c r="AB87" s="2">
        <v>8.82</v>
      </c>
      <c r="AC87" s="2">
        <v>12.25</v>
      </c>
      <c r="AD87" s="2">
        <v>0.38</v>
      </c>
      <c r="AE87" s="2">
        <v>0.2</v>
      </c>
      <c r="AF87" s="2">
        <v>14.15</v>
      </c>
      <c r="AG87" s="13">
        <v>12.91</v>
      </c>
      <c r="AH87" s="17"/>
      <c r="AI87" s="2"/>
      <c r="AJ87" s="2"/>
      <c r="AK87" s="2"/>
      <c r="AL87" s="2"/>
      <c r="AM87" s="13"/>
      <c r="AN87" s="39">
        <f>AVERAGE(P87,R87,T87)</f>
        <v>0.80666666666666664</v>
      </c>
      <c r="AO87" s="39">
        <f>AVERAGE(Q87,S87,U87)</f>
        <v>0.85333333333333339</v>
      </c>
      <c r="AP87" s="39">
        <f>AVERAGE(V87,Z87,AD87)</f>
        <v>0.44333333333333336</v>
      </c>
      <c r="AQ87" s="39">
        <f>AVERAGE(W87,AA87,AE87)</f>
        <v>0.22666666666666666</v>
      </c>
      <c r="AR87" s="39">
        <f>AVERAGE(X87,AB87,AF87)</f>
        <v>11.273333333333333</v>
      </c>
      <c r="AS87" s="39">
        <f>AVERAGE(Y87,AC87,AG87)</f>
        <v>12.553333333333333</v>
      </c>
      <c r="AT87" s="39">
        <f t="shared" si="4"/>
        <v>0.67</v>
      </c>
      <c r="AU87" s="39">
        <f t="shared" si="5"/>
        <v>23.826666666666668</v>
      </c>
      <c r="AV87" s="39" t="e">
        <f>AVERAGE(AH87,AJ87,AL87)</f>
        <v>#DIV/0!</v>
      </c>
      <c r="AW87" s="39" t="e">
        <f>AVERAGE(AI87,AK87,AM87)</f>
        <v>#DIV/0!</v>
      </c>
    </row>
    <row r="88" spans="1:49" s="39" customFormat="1" x14ac:dyDescent="0.3">
      <c r="A88" s="4" t="s">
        <v>176</v>
      </c>
      <c r="B88" s="2" t="s">
        <v>177</v>
      </c>
      <c r="C88" s="2" t="s">
        <v>179</v>
      </c>
      <c r="D88" s="1" t="s">
        <v>87</v>
      </c>
      <c r="E88" s="2" t="s">
        <v>186</v>
      </c>
      <c r="F88" s="2" t="s">
        <v>178</v>
      </c>
      <c r="G88" s="2" t="s">
        <v>183</v>
      </c>
      <c r="H88" s="1">
        <v>2008</v>
      </c>
      <c r="I88" s="1" t="s">
        <v>209</v>
      </c>
      <c r="J88" s="1"/>
      <c r="K88" s="1">
        <v>-4.634008219</v>
      </c>
      <c r="L88" s="1">
        <v>-0.43617856399999999</v>
      </c>
      <c r="M88" s="1">
        <v>0.31209340200000002</v>
      </c>
      <c r="N88" s="1">
        <v>3</v>
      </c>
      <c r="O88" s="2" t="s">
        <v>250</v>
      </c>
      <c r="P88" s="17">
        <v>0.88</v>
      </c>
      <c r="Q88" s="2">
        <v>0.89</v>
      </c>
      <c r="R88" s="2">
        <v>0.9</v>
      </c>
      <c r="S88" s="2">
        <v>0.89</v>
      </c>
      <c r="T88" s="2">
        <v>0.86</v>
      </c>
      <c r="U88" s="2">
        <v>0.87</v>
      </c>
      <c r="V88" s="2">
        <v>0.62</v>
      </c>
      <c r="W88" s="2">
        <v>0.41</v>
      </c>
      <c r="X88" s="2">
        <v>6.17</v>
      </c>
      <c r="Y88" s="2">
        <v>5.46</v>
      </c>
      <c r="Z88" s="2">
        <v>0.73</v>
      </c>
      <c r="AA88" s="2">
        <v>0.55000000000000004</v>
      </c>
      <c r="AB88" s="2">
        <v>3.89</v>
      </c>
      <c r="AC88" s="2">
        <v>2.71</v>
      </c>
      <c r="AD88" s="2">
        <v>0.47</v>
      </c>
      <c r="AE88" s="2">
        <v>0.27</v>
      </c>
      <c r="AF88" s="2">
        <v>11.93</v>
      </c>
      <c r="AG88" s="13">
        <v>11.27</v>
      </c>
      <c r="AH88" s="17"/>
      <c r="AI88" s="2"/>
      <c r="AJ88" s="2"/>
      <c r="AK88" s="2"/>
      <c r="AL88" s="2"/>
      <c r="AM88" s="13"/>
      <c r="AN88" s="39">
        <f>AVERAGE(P88,R88,T88)</f>
        <v>0.88</v>
      </c>
      <c r="AO88" s="39">
        <f>AVERAGE(Q88,S88,U88)</f>
        <v>0.8833333333333333</v>
      </c>
      <c r="AP88" s="39">
        <f>AVERAGE(V88,Z88,AD88)</f>
        <v>0.60666666666666669</v>
      </c>
      <c r="AQ88" s="39">
        <f>AVERAGE(W88,AA88,AE88)</f>
        <v>0.41</v>
      </c>
      <c r="AR88" s="39">
        <f>AVERAGE(X88,AB88,AF88)</f>
        <v>7.330000000000001</v>
      </c>
      <c r="AS88" s="39">
        <f>AVERAGE(Y88,AC88,AG88)</f>
        <v>6.4799999999999995</v>
      </c>
      <c r="AT88" s="39">
        <f t="shared" si="4"/>
        <v>1.0166666666666666</v>
      </c>
      <c r="AU88" s="39">
        <f t="shared" si="5"/>
        <v>13.81</v>
      </c>
      <c r="AV88" s="39" t="e">
        <f>AVERAGE(AH88,AJ88,AL88)</f>
        <v>#DIV/0!</v>
      </c>
      <c r="AW88" s="39" t="e">
        <f>AVERAGE(AI88,AK88,AM88)</f>
        <v>#DIV/0!</v>
      </c>
    </row>
    <row r="89" spans="1:49" s="39" customFormat="1" x14ac:dyDescent="0.3">
      <c r="A89" s="4" t="s">
        <v>176</v>
      </c>
      <c r="B89" s="2" t="s">
        <v>177</v>
      </c>
      <c r="C89" s="2" t="s">
        <v>179</v>
      </c>
      <c r="D89" s="1" t="s">
        <v>88</v>
      </c>
      <c r="E89" s="2" t="s">
        <v>186</v>
      </c>
      <c r="F89" s="2" t="s">
        <v>178</v>
      </c>
      <c r="G89" s="37" t="s">
        <v>183</v>
      </c>
      <c r="H89" s="1">
        <v>2009</v>
      </c>
      <c r="I89" s="1" t="s">
        <v>209</v>
      </c>
      <c r="J89" s="1"/>
      <c r="K89" s="1">
        <v>-5.1515679820000004</v>
      </c>
      <c r="L89" s="1">
        <v>-0.46258505599999999</v>
      </c>
      <c r="M89" s="1">
        <v>0.28654706299999999</v>
      </c>
      <c r="N89" s="1">
        <v>3</v>
      </c>
      <c r="O89" s="2" t="s">
        <v>251</v>
      </c>
      <c r="P89" s="17">
        <v>0.87</v>
      </c>
      <c r="Q89" s="2">
        <v>0.87</v>
      </c>
      <c r="R89" s="2">
        <v>0.84</v>
      </c>
      <c r="S89" s="2">
        <v>0.86</v>
      </c>
      <c r="T89" s="2">
        <v>0.9</v>
      </c>
      <c r="U89" s="2">
        <v>0.88</v>
      </c>
      <c r="V89" s="2">
        <v>0.65</v>
      </c>
      <c r="W89" s="2">
        <v>0.36</v>
      </c>
      <c r="X89" s="2">
        <v>6.53</v>
      </c>
      <c r="Y89" s="2">
        <v>10.31</v>
      </c>
      <c r="Z89" s="2">
        <v>0.7</v>
      </c>
      <c r="AA89" s="2">
        <v>0.39</v>
      </c>
      <c r="AB89" s="2">
        <v>5.47</v>
      </c>
      <c r="AC89" s="2">
        <v>9.1300000000000008</v>
      </c>
      <c r="AD89" s="2">
        <v>0.82</v>
      </c>
      <c r="AE89" s="2">
        <v>0.61</v>
      </c>
      <c r="AF89" s="2">
        <v>3.17</v>
      </c>
      <c r="AG89" s="13">
        <v>2.94</v>
      </c>
      <c r="AH89" s="17"/>
      <c r="AI89" s="2"/>
      <c r="AJ89" s="2"/>
      <c r="AK89" s="2"/>
      <c r="AL89" s="2"/>
      <c r="AM89" s="13"/>
      <c r="AN89" s="39">
        <f>AVERAGE(P89,R89,T89)</f>
        <v>0.87</v>
      </c>
      <c r="AO89" s="39">
        <f>AVERAGE(Q89,S89,U89)</f>
        <v>0.87</v>
      </c>
      <c r="AP89" s="39">
        <f>AVERAGE(V89,Z89,AD89)</f>
        <v>0.72333333333333327</v>
      </c>
      <c r="AQ89" s="39">
        <f>AVERAGE(W89,AA89,AE89)</f>
        <v>0.45333333333333331</v>
      </c>
      <c r="AR89" s="39">
        <f>AVERAGE(X89,AB89,AF89)</f>
        <v>5.0566666666666666</v>
      </c>
      <c r="AS89" s="39">
        <f>AVERAGE(Y89,AC89,AG89)</f>
        <v>7.4600000000000009</v>
      </c>
      <c r="AT89" s="39">
        <f t="shared" si="4"/>
        <v>1.1766666666666665</v>
      </c>
      <c r="AU89" s="39">
        <f t="shared" si="5"/>
        <v>12.516666666666667</v>
      </c>
      <c r="AV89" s="39" t="e">
        <f>AVERAGE(AH89,AJ89,AL89)</f>
        <v>#DIV/0!</v>
      </c>
      <c r="AW89" s="39" t="e">
        <f>AVERAGE(AI89,AK89,AM89)</f>
        <v>#DIV/0!</v>
      </c>
    </row>
    <row r="90" spans="1:49" s="39" customFormat="1" x14ac:dyDescent="0.3">
      <c r="A90" s="4" t="s">
        <v>176</v>
      </c>
      <c r="B90" s="2" t="s">
        <v>177</v>
      </c>
      <c r="C90" s="2" t="s">
        <v>179</v>
      </c>
      <c r="D90" s="1" t="s">
        <v>89</v>
      </c>
      <c r="E90" s="2" t="s">
        <v>186</v>
      </c>
      <c r="F90" s="2" t="s">
        <v>178</v>
      </c>
      <c r="G90" s="2" t="s">
        <v>183</v>
      </c>
      <c r="H90" s="1">
        <v>2010</v>
      </c>
      <c r="I90" s="1" t="s">
        <v>207</v>
      </c>
      <c r="J90" s="1"/>
      <c r="K90" s="1">
        <v>-4.5733006630000004</v>
      </c>
      <c r="L90" s="1">
        <v>-0.40785656999999997</v>
      </c>
      <c r="M90" s="1">
        <v>0.35836016300000001</v>
      </c>
      <c r="N90" s="1">
        <v>3</v>
      </c>
      <c r="O90" s="2" t="s">
        <v>250</v>
      </c>
      <c r="P90" s="17">
        <v>0.86</v>
      </c>
      <c r="Q90" s="2">
        <v>0.87</v>
      </c>
      <c r="R90" s="2">
        <v>0.87</v>
      </c>
      <c r="S90" s="2">
        <v>0.87</v>
      </c>
      <c r="T90" s="2">
        <v>0.87</v>
      </c>
      <c r="U90" s="2">
        <v>0.87</v>
      </c>
      <c r="V90" s="2">
        <v>0.46</v>
      </c>
      <c r="W90" s="2">
        <v>0.25</v>
      </c>
      <c r="X90" s="2">
        <v>9.5</v>
      </c>
      <c r="Y90" s="2">
        <v>11.85</v>
      </c>
      <c r="Z90" s="2">
        <v>0.54</v>
      </c>
      <c r="AA90" s="2">
        <v>0.32</v>
      </c>
      <c r="AB90" s="2">
        <v>8.1999999999999993</v>
      </c>
      <c r="AC90" s="2">
        <v>10.050000000000001</v>
      </c>
      <c r="AD90" s="2">
        <v>0.53</v>
      </c>
      <c r="AE90" s="2">
        <v>0.28999999999999998</v>
      </c>
      <c r="AF90" s="2">
        <v>8.8800000000000008</v>
      </c>
      <c r="AG90" s="13">
        <v>11.05</v>
      </c>
      <c r="AH90" s="17"/>
      <c r="AI90" s="2"/>
      <c r="AJ90" s="2"/>
      <c r="AK90" s="2"/>
      <c r="AL90" s="2"/>
      <c r="AM90" s="13"/>
      <c r="AN90" s="39">
        <f t="shared" ref="AN90:AN120" si="6">AVERAGE(P90,R90,T90)</f>
        <v>0.8666666666666667</v>
      </c>
      <c r="AO90" s="39">
        <f t="shared" ref="AO90:AO120" si="7">AVERAGE(Q90,S90,U90)</f>
        <v>0.87</v>
      </c>
      <c r="AP90" s="39">
        <f t="shared" ref="AP90:AP120" si="8">AVERAGE(V90,Z90,AD90)</f>
        <v>0.51</v>
      </c>
      <c r="AQ90" s="39">
        <f t="shared" ref="AQ90:AQ120" si="9">AVERAGE(W90,AA90,AE90)</f>
        <v>0.28666666666666668</v>
      </c>
      <c r="AR90" s="39">
        <f t="shared" ref="AR90:AR120" si="10">AVERAGE(X90,AB90,AF90)</f>
        <v>8.86</v>
      </c>
      <c r="AS90" s="39">
        <f t="shared" ref="AS90:AS120" si="11">AVERAGE(Y90,AC90,AG90)</f>
        <v>10.983333333333334</v>
      </c>
      <c r="AT90" s="39">
        <f t="shared" ref="AT90:AT120" si="12">SUM(AP90:AQ90)</f>
        <v>0.79666666666666663</v>
      </c>
      <c r="AU90" s="39">
        <f t="shared" ref="AU90:AU120" si="13">SUM(AR90:AS90)</f>
        <v>19.843333333333334</v>
      </c>
      <c r="AV90" s="39" t="e">
        <f t="shared" ref="AV90:AV120" si="14">AVERAGE(AH90,AJ90,AL90)</f>
        <v>#DIV/0!</v>
      </c>
      <c r="AW90" s="39" t="e">
        <f t="shared" ref="AW90:AW120" si="15">AVERAGE(AI90,AK90,AM90)</f>
        <v>#DIV/0!</v>
      </c>
    </row>
    <row r="91" spans="1:49" s="39" customFormat="1" x14ac:dyDescent="0.3">
      <c r="A91" s="4" t="s">
        <v>176</v>
      </c>
      <c r="B91" s="2" t="s">
        <v>177</v>
      </c>
      <c r="C91" s="2" t="s">
        <v>179</v>
      </c>
      <c r="D91" s="1" t="s">
        <v>90</v>
      </c>
      <c r="E91" s="2" t="s">
        <v>186</v>
      </c>
      <c r="F91" s="2" t="s">
        <v>178</v>
      </c>
      <c r="G91" s="2" t="s">
        <v>183</v>
      </c>
      <c r="H91" s="1">
        <v>2011</v>
      </c>
      <c r="I91" s="1" t="s">
        <v>209</v>
      </c>
      <c r="J91" s="1"/>
      <c r="K91" s="1">
        <v>-3.9130748899999999</v>
      </c>
      <c r="L91" s="1">
        <v>-0.45610300799999998</v>
      </c>
      <c r="M91" s="1">
        <v>0.28654706299999999</v>
      </c>
      <c r="N91" s="1">
        <v>3</v>
      </c>
      <c r="O91" s="2" t="s">
        <v>250</v>
      </c>
      <c r="P91" s="17">
        <v>0.87</v>
      </c>
      <c r="Q91" s="2">
        <v>0.87</v>
      </c>
      <c r="R91" s="2">
        <v>0.88</v>
      </c>
      <c r="S91" s="2">
        <v>0.88</v>
      </c>
      <c r="T91" s="2">
        <v>0.86</v>
      </c>
      <c r="U91" s="2">
        <v>0.87</v>
      </c>
      <c r="V91" s="2">
        <v>0.54</v>
      </c>
      <c r="W91" s="2">
        <v>0.35</v>
      </c>
      <c r="X91" s="2">
        <v>9.35</v>
      </c>
      <c r="Y91" s="2">
        <v>9.59</v>
      </c>
      <c r="Z91" s="2">
        <v>0.64</v>
      </c>
      <c r="AA91" s="2">
        <v>0.39</v>
      </c>
      <c r="AB91" s="2">
        <v>6.98</v>
      </c>
      <c r="AC91" s="2">
        <v>8.7899999999999991</v>
      </c>
      <c r="AD91" s="2">
        <v>0.41</v>
      </c>
      <c r="AE91" s="2">
        <v>0.22</v>
      </c>
      <c r="AF91" s="2">
        <v>12.4</v>
      </c>
      <c r="AG91" s="13">
        <v>11.51</v>
      </c>
      <c r="AH91" s="17"/>
      <c r="AI91" s="2"/>
      <c r="AJ91" s="2"/>
      <c r="AK91" s="2"/>
      <c r="AL91" s="2"/>
      <c r="AM91" s="13"/>
      <c r="AN91" s="39">
        <f t="shared" si="6"/>
        <v>0.87</v>
      </c>
      <c r="AO91" s="39">
        <f t="shared" si="7"/>
        <v>0.87333333333333341</v>
      </c>
      <c r="AP91" s="39">
        <f t="shared" si="8"/>
        <v>0.53</v>
      </c>
      <c r="AQ91" s="39">
        <f t="shared" si="9"/>
        <v>0.32</v>
      </c>
      <c r="AR91" s="39">
        <f t="shared" si="10"/>
        <v>9.5766666666666662</v>
      </c>
      <c r="AS91" s="39">
        <f t="shared" si="11"/>
        <v>9.9633333333333329</v>
      </c>
      <c r="AT91" s="39">
        <f t="shared" si="12"/>
        <v>0.85000000000000009</v>
      </c>
      <c r="AU91" s="39">
        <f t="shared" si="13"/>
        <v>19.54</v>
      </c>
      <c r="AV91" s="39" t="e">
        <f t="shared" si="14"/>
        <v>#DIV/0!</v>
      </c>
      <c r="AW91" s="39" t="e">
        <f t="shared" si="15"/>
        <v>#DIV/0!</v>
      </c>
    </row>
    <row r="92" spans="1:49" s="39" customFormat="1" x14ac:dyDescent="0.3">
      <c r="A92" s="4" t="s">
        <v>176</v>
      </c>
      <c r="B92" s="2" t="s">
        <v>177</v>
      </c>
      <c r="C92" s="2" t="s">
        <v>179</v>
      </c>
      <c r="D92" s="1" t="s">
        <v>91</v>
      </c>
      <c r="E92" s="2" t="s">
        <v>186</v>
      </c>
      <c r="F92" s="2" t="s">
        <v>178</v>
      </c>
      <c r="G92" s="2" t="s">
        <v>183</v>
      </c>
      <c r="H92" s="1">
        <v>2012</v>
      </c>
      <c r="I92" s="1" t="s">
        <v>209</v>
      </c>
      <c r="J92" s="1"/>
      <c r="K92" s="1">
        <v>-5.1917634039999996</v>
      </c>
      <c r="L92" s="1">
        <v>-0.379178876</v>
      </c>
      <c r="M92" s="1">
        <v>0.38869051500000001</v>
      </c>
      <c r="N92" s="1">
        <v>3</v>
      </c>
      <c r="O92" s="2" t="s">
        <v>250</v>
      </c>
      <c r="P92" s="17">
        <v>0.88</v>
      </c>
      <c r="Q92" s="2">
        <v>0.88</v>
      </c>
      <c r="R92" s="2">
        <v>0.86</v>
      </c>
      <c r="S92" s="2">
        <v>0.86</v>
      </c>
      <c r="T92" s="2">
        <v>0.88</v>
      </c>
      <c r="U92" s="2">
        <v>0.87</v>
      </c>
      <c r="V92" s="2">
        <v>0.61</v>
      </c>
      <c r="W92" s="2">
        <v>0.37</v>
      </c>
      <c r="X92" s="2">
        <v>6.91</v>
      </c>
      <c r="Y92" s="2">
        <v>9.4</v>
      </c>
      <c r="Z92" s="2">
        <v>0.61</v>
      </c>
      <c r="AA92" s="2">
        <v>0.37</v>
      </c>
      <c r="AB92" s="2">
        <v>7.08</v>
      </c>
      <c r="AC92" s="2">
        <v>10.33</v>
      </c>
      <c r="AD92" s="2">
        <v>0.57999999999999996</v>
      </c>
      <c r="AE92" s="2">
        <v>0.36</v>
      </c>
      <c r="AF92" s="2">
        <v>7.88</v>
      </c>
      <c r="AG92" s="13">
        <v>9.76</v>
      </c>
      <c r="AH92" s="17"/>
      <c r="AI92" s="2"/>
      <c r="AJ92" s="2"/>
      <c r="AK92" s="2"/>
      <c r="AL92" s="2"/>
      <c r="AM92" s="13"/>
      <c r="AN92" s="39">
        <f t="shared" si="6"/>
        <v>0.87333333333333341</v>
      </c>
      <c r="AO92" s="39">
        <f t="shared" si="7"/>
        <v>0.87</v>
      </c>
      <c r="AP92" s="39">
        <f t="shared" si="8"/>
        <v>0.6</v>
      </c>
      <c r="AQ92" s="39">
        <f t="shared" si="9"/>
        <v>0.3666666666666667</v>
      </c>
      <c r="AR92" s="39">
        <f t="shared" si="10"/>
        <v>7.29</v>
      </c>
      <c r="AS92" s="39">
        <f t="shared" si="11"/>
        <v>9.83</v>
      </c>
      <c r="AT92" s="39">
        <f t="shared" si="12"/>
        <v>0.96666666666666667</v>
      </c>
      <c r="AU92" s="39">
        <f t="shared" si="13"/>
        <v>17.12</v>
      </c>
      <c r="AV92" s="39" t="e">
        <f t="shared" si="14"/>
        <v>#DIV/0!</v>
      </c>
      <c r="AW92" s="39" t="e">
        <f t="shared" si="15"/>
        <v>#DIV/0!</v>
      </c>
    </row>
    <row r="93" spans="1:49" s="39" customFormat="1" x14ac:dyDescent="0.3">
      <c r="A93" s="31" t="s">
        <v>176</v>
      </c>
      <c r="B93" s="32" t="s">
        <v>258</v>
      </c>
      <c r="C93" s="32"/>
      <c r="D93" s="32" t="s">
        <v>179</v>
      </c>
      <c r="E93" s="32"/>
      <c r="F93" s="32" t="s">
        <v>264</v>
      </c>
      <c r="G93" s="37" t="s">
        <v>179</v>
      </c>
      <c r="H93" s="32">
        <v>5001</v>
      </c>
      <c r="I93" s="32"/>
      <c r="J93" s="32"/>
      <c r="K93" s="32"/>
      <c r="L93" s="32"/>
      <c r="M93" s="32"/>
      <c r="N93" s="32"/>
      <c r="O93" s="32" t="s">
        <v>251</v>
      </c>
      <c r="P93" s="33">
        <v>0.9</v>
      </c>
      <c r="Q93" s="32">
        <v>0.88</v>
      </c>
      <c r="R93" s="32">
        <v>0.9</v>
      </c>
      <c r="S93" s="32">
        <v>0.88</v>
      </c>
      <c r="T93" s="32">
        <v>0.89</v>
      </c>
      <c r="U93" s="32">
        <v>0.88</v>
      </c>
      <c r="V93" s="32">
        <v>0.85</v>
      </c>
      <c r="W93" s="32">
        <v>0.6</v>
      </c>
      <c r="X93" s="32">
        <v>3.4</v>
      </c>
      <c r="Y93" s="32">
        <v>3.91</v>
      </c>
      <c r="Z93" s="32">
        <v>0.85</v>
      </c>
      <c r="AA93" s="32">
        <v>0.56999999999999995</v>
      </c>
      <c r="AB93" s="32">
        <v>3.63</v>
      </c>
      <c r="AC93" s="32">
        <v>3.94</v>
      </c>
      <c r="AD93" s="32">
        <v>0.84</v>
      </c>
      <c r="AE93" s="32">
        <v>0.57999999999999996</v>
      </c>
      <c r="AF93" s="32">
        <v>3.72</v>
      </c>
      <c r="AG93" s="34">
        <v>4.22</v>
      </c>
      <c r="AH93" s="33"/>
      <c r="AI93" s="32"/>
      <c r="AJ93" s="32"/>
      <c r="AK93" s="32"/>
      <c r="AL93" s="32"/>
      <c r="AM93" s="34"/>
      <c r="AN93" s="39">
        <f t="shared" si="6"/>
        <v>0.89666666666666661</v>
      </c>
      <c r="AO93" s="39">
        <f t="shared" si="7"/>
        <v>0.88</v>
      </c>
      <c r="AP93" s="39">
        <f t="shared" si="8"/>
        <v>0.84666666666666668</v>
      </c>
      <c r="AQ93" s="39">
        <f t="shared" si="9"/>
        <v>0.58333333333333337</v>
      </c>
      <c r="AR93" s="39">
        <f t="shared" si="10"/>
        <v>3.5833333333333335</v>
      </c>
      <c r="AS93" s="39">
        <f t="shared" si="11"/>
        <v>4.0233333333333334</v>
      </c>
      <c r="AT93" s="39">
        <f t="shared" si="12"/>
        <v>1.4300000000000002</v>
      </c>
      <c r="AU93" s="39">
        <f t="shared" si="13"/>
        <v>7.6066666666666674</v>
      </c>
      <c r="AV93" s="39" t="e">
        <f t="shared" si="14"/>
        <v>#DIV/0!</v>
      </c>
      <c r="AW93" s="39" t="e">
        <f t="shared" si="15"/>
        <v>#DIV/0!</v>
      </c>
    </row>
    <row r="94" spans="1:49" s="39" customFormat="1" x14ac:dyDescent="0.3">
      <c r="A94" s="31" t="s">
        <v>176</v>
      </c>
      <c r="B94" s="32" t="s">
        <v>257</v>
      </c>
      <c r="C94" s="32"/>
      <c r="D94" s="32" t="s">
        <v>179</v>
      </c>
      <c r="E94" s="32"/>
      <c r="F94" s="32" t="s">
        <v>263</v>
      </c>
      <c r="G94" s="37" t="s">
        <v>179</v>
      </c>
      <c r="H94" s="32">
        <v>5002</v>
      </c>
      <c r="I94" s="32"/>
      <c r="J94" s="32"/>
      <c r="K94" s="32"/>
      <c r="L94" s="32"/>
      <c r="M94" s="32"/>
      <c r="N94" s="32"/>
      <c r="O94" s="32" t="s">
        <v>250</v>
      </c>
      <c r="P94" s="33">
        <v>0.87</v>
      </c>
      <c r="Q94" s="32">
        <v>0.87</v>
      </c>
      <c r="R94" s="32">
        <v>0.87</v>
      </c>
      <c r="S94" s="32">
        <v>0.86</v>
      </c>
      <c r="T94" s="32">
        <v>0.82</v>
      </c>
      <c r="U94" s="32">
        <v>0.86</v>
      </c>
      <c r="V94" s="32">
        <v>0.78</v>
      </c>
      <c r="W94" s="32">
        <v>0.48</v>
      </c>
      <c r="X94" s="32">
        <v>3.94</v>
      </c>
      <c r="Y94" s="32">
        <v>7.84</v>
      </c>
      <c r="Z94" s="32">
        <v>0.78</v>
      </c>
      <c r="AA94" s="32">
        <v>0.45</v>
      </c>
      <c r="AB94" s="32">
        <v>4.18</v>
      </c>
      <c r="AC94" s="32">
        <v>8</v>
      </c>
      <c r="AD94" s="32">
        <v>0.74</v>
      </c>
      <c r="AE94" s="32">
        <v>0.41</v>
      </c>
      <c r="AF94" s="32">
        <v>4.26</v>
      </c>
      <c r="AG94" s="34">
        <v>9.66</v>
      </c>
      <c r="AH94" s="33"/>
      <c r="AI94" s="32"/>
      <c r="AJ94" s="32"/>
      <c r="AK94" s="32"/>
      <c r="AL94" s="32"/>
      <c r="AM94" s="34"/>
      <c r="AN94" s="39">
        <f t="shared" si="6"/>
        <v>0.85333333333333339</v>
      </c>
      <c r="AO94" s="39">
        <f t="shared" si="7"/>
        <v>0.86333333333333329</v>
      </c>
      <c r="AP94" s="39">
        <f t="shared" si="8"/>
        <v>0.76666666666666661</v>
      </c>
      <c r="AQ94" s="39">
        <f t="shared" si="9"/>
        <v>0.4466666666666666</v>
      </c>
      <c r="AR94" s="39">
        <f t="shared" si="10"/>
        <v>4.126666666666666</v>
      </c>
      <c r="AS94" s="39">
        <f t="shared" si="11"/>
        <v>8.5</v>
      </c>
      <c r="AT94" s="39">
        <f t="shared" si="12"/>
        <v>1.2133333333333332</v>
      </c>
      <c r="AU94" s="39">
        <f t="shared" si="13"/>
        <v>12.626666666666665</v>
      </c>
      <c r="AV94" s="39" t="e">
        <f t="shared" si="14"/>
        <v>#DIV/0!</v>
      </c>
      <c r="AW94" s="39" t="e">
        <f t="shared" si="15"/>
        <v>#DIV/0!</v>
      </c>
    </row>
    <row r="95" spans="1:49" s="39" customFormat="1" x14ac:dyDescent="0.3">
      <c r="A95" s="31" t="s">
        <v>176</v>
      </c>
      <c r="B95" s="32" t="s">
        <v>256</v>
      </c>
      <c r="C95" s="32"/>
      <c r="D95" s="32" t="s">
        <v>179</v>
      </c>
      <c r="E95" s="32"/>
      <c r="F95" s="32" t="s">
        <v>262</v>
      </c>
      <c r="G95" s="37" t="s">
        <v>179</v>
      </c>
      <c r="H95" s="32">
        <v>5003</v>
      </c>
      <c r="I95" s="32"/>
      <c r="J95" s="32"/>
      <c r="K95" s="32"/>
      <c r="L95" s="32"/>
      <c r="M95" s="32"/>
      <c r="N95" s="32"/>
      <c r="O95" s="32" t="s">
        <v>251</v>
      </c>
      <c r="P95" s="33">
        <v>0.87</v>
      </c>
      <c r="Q95" s="32">
        <v>0.87</v>
      </c>
      <c r="R95" s="32">
        <v>0.84</v>
      </c>
      <c r="S95" s="32">
        <v>0.87</v>
      </c>
      <c r="T95" s="32">
        <v>0.8</v>
      </c>
      <c r="U95" s="32">
        <v>0.86</v>
      </c>
      <c r="V95" s="32">
        <v>0.78</v>
      </c>
      <c r="W95" s="32">
        <v>0.47</v>
      </c>
      <c r="X95" s="32">
        <v>4.03</v>
      </c>
      <c r="Y95" s="32">
        <v>8.4700000000000006</v>
      </c>
      <c r="Z95" s="32">
        <v>0.78</v>
      </c>
      <c r="AA95" s="32">
        <v>0.45</v>
      </c>
      <c r="AB95" s="32">
        <v>3.92</v>
      </c>
      <c r="AC95" s="32">
        <v>8.74</v>
      </c>
      <c r="AD95" s="32">
        <v>0.74</v>
      </c>
      <c r="AE95" s="32">
        <v>0.39</v>
      </c>
      <c r="AF95" s="32">
        <v>4.6100000000000003</v>
      </c>
      <c r="AG95" s="34">
        <v>11.59</v>
      </c>
      <c r="AH95" s="33"/>
      <c r="AI95" s="32"/>
      <c r="AJ95" s="32"/>
      <c r="AK95" s="32"/>
      <c r="AL95" s="32"/>
      <c r="AM95" s="34"/>
      <c r="AN95" s="39">
        <f t="shared" si="6"/>
        <v>0.83666666666666656</v>
      </c>
      <c r="AO95" s="39">
        <f t="shared" si="7"/>
        <v>0.8666666666666667</v>
      </c>
      <c r="AP95" s="39">
        <f t="shared" si="8"/>
        <v>0.76666666666666661</v>
      </c>
      <c r="AQ95" s="39">
        <f t="shared" si="9"/>
        <v>0.4366666666666667</v>
      </c>
      <c r="AR95" s="39">
        <f t="shared" si="10"/>
        <v>4.1866666666666665</v>
      </c>
      <c r="AS95" s="39">
        <f t="shared" si="11"/>
        <v>9.6</v>
      </c>
      <c r="AT95" s="39">
        <f t="shared" si="12"/>
        <v>1.2033333333333334</v>
      </c>
      <c r="AU95" s="39">
        <f t="shared" si="13"/>
        <v>13.786666666666665</v>
      </c>
      <c r="AV95" s="39" t="e">
        <f t="shared" si="14"/>
        <v>#DIV/0!</v>
      </c>
      <c r="AW95" s="39" t="e">
        <f t="shared" si="15"/>
        <v>#DIV/0!</v>
      </c>
    </row>
    <row r="96" spans="1:49" s="39" customFormat="1" x14ac:dyDescent="0.3">
      <c r="A96" s="31" t="s">
        <v>176</v>
      </c>
      <c r="B96" s="32" t="s">
        <v>255</v>
      </c>
      <c r="C96" s="32"/>
      <c r="D96" s="32" t="s">
        <v>179</v>
      </c>
      <c r="E96" s="32"/>
      <c r="F96" s="32" t="s">
        <v>261</v>
      </c>
      <c r="G96" s="37" t="s">
        <v>179</v>
      </c>
      <c r="H96" s="32">
        <v>5004</v>
      </c>
      <c r="I96" s="32"/>
      <c r="J96" s="32"/>
      <c r="K96" s="32"/>
      <c r="L96" s="32"/>
      <c r="M96" s="32"/>
      <c r="N96" s="32"/>
      <c r="O96" s="32" t="s">
        <v>250</v>
      </c>
      <c r="P96" s="33">
        <v>0.85</v>
      </c>
      <c r="Q96" s="32">
        <v>0.87</v>
      </c>
      <c r="R96" s="32">
        <v>0.88</v>
      </c>
      <c r="S96" s="32">
        <v>0.86</v>
      </c>
      <c r="T96" s="32">
        <v>0.85</v>
      </c>
      <c r="U96" s="32">
        <v>0.87</v>
      </c>
      <c r="V96" s="32">
        <v>0.74</v>
      </c>
      <c r="W96" s="32">
        <v>0.44</v>
      </c>
      <c r="X96" s="32">
        <v>4.8899999999999997</v>
      </c>
      <c r="Y96" s="32">
        <v>10</v>
      </c>
      <c r="Z96" s="32">
        <v>0.75</v>
      </c>
      <c r="AA96" s="32">
        <v>0.44</v>
      </c>
      <c r="AB96" s="32">
        <v>4.8</v>
      </c>
      <c r="AC96" s="32">
        <v>8.73</v>
      </c>
      <c r="AD96" s="32">
        <v>0.75</v>
      </c>
      <c r="AE96" s="32">
        <v>0.43</v>
      </c>
      <c r="AF96" s="32">
        <v>4.68</v>
      </c>
      <c r="AG96" s="34">
        <v>9.32</v>
      </c>
      <c r="AH96" s="33"/>
      <c r="AI96" s="32"/>
      <c r="AJ96" s="32"/>
      <c r="AK96" s="32"/>
      <c r="AL96" s="32"/>
      <c r="AM96" s="34"/>
      <c r="AN96" s="39">
        <f t="shared" si="6"/>
        <v>0.86</v>
      </c>
      <c r="AO96" s="39">
        <f t="shared" si="7"/>
        <v>0.8666666666666667</v>
      </c>
      <c r="AP96" s="39">
        <f t="shared" si="8"/>
        <v>0.7466666666666667</v>
      </c>
      <c r="AQ96" s="39">
        <f t="shared" si="9"/>
        <v>0.4366666666666667</v>
      </c>
      <c r="AR96" s="39">
        <f t="shared" si="10"/>
        <v>4.79</v>
      </c>
      <c r="AS96" s="39">
        <f t="shared" si="11"/>
        <v>9.35</v>
      </c>
      <c r="AT96" s="39">
        <f t="shared" si="12"/>
        <v>1.1833333333333333</v>
      </c>
      <c r="AU96" s="39">
        <f t="shared" si="13"/>
        <v>14.14</v>
      </c>
      <c r="AV96" s="39" t="e">
        <f t="shared" si="14"/>
        <v>#DIV/0!</v>
      </c>
      <c r="AW96" s="39" t="e">
        <f t="shared" si="15"/>
        <v>#DIV/0!</v>
      </c>
    </row>
    <row r="97" spans="1:49" s="39" customFormat="1" x14ac:dyDescent="0.3">
      <c r="A97" s="31" t="s">
        <v>176</v>
      </c>
      <c r="B97" s="32" t="s">
        <v>254</v>
      </c>
      <c r="C97" s="32"/>
      <c r="D97" s="32" t="s">
        <v>179</v>
      </c>
      <c r="E97" s="32"/>
      <c r="F97" s="32" t="s">
        <v>260</v>
      </c>
      <c r="G97" s="37" t="s">
        <v>179</v>
      </c>
      <c r="H97" s="32">
        <v>5005</v>
      </c>
      <c r="I97" s="32"/>
      <c r="J97" s="32"/>
      <c r="K97" s="32"/>
      <c r="L97" s="32"/>
      <c r="M97" s="32"/>
      <c r="N97" s="32"/>
      <c r="O97" s="32" t="s">
        <v>250</v>
      </c>
      <c r="P97" s="33">
        <v>0.86</v>
      </c>
      <c r="Q97" s="32">
        <v>0.87</v>
      </c>
      <c r="R97" s="32">
        <v>0.85</v>
      </c>
      <c r="S97" s="32">
        <v>0.86</v>
      </c>
      <c r="T97" s="32">
        <v>0.86</v>
      </c>
      <c r="U97" s="32">
        <v>0.87</v>
      </c>
      <c r="V97" s="32">
        <v>0.59</v>
      </c>
      <c r="W97" s="32">
        <v>0.33</v>
      </c>
      <c r="X97" s="32">
        <v>9.1999999999999993</v>
      </c>
      <c r="Y97" s="32">
        <v>10.88</v>
      </c>
      <c r="Z97" s="32">
        <v>0.63</v>
      </c>
      <c r="AA97" s="32">
        <v>0.35</v>
      </c>
      <c r="AB97" s="32">
        <v>9.02</v>
      </c>
      <c r="AC97" s="32">
        <v>10.09</v>
      </c>
      <c r="AD97" s="32">
        <v>0.56000000000000005</v>
      </c>
      <c r="AE97" s="32">
        <v>0.3</v>
      </c>
      <c r="AF97" s="32">
        <v>9.82</v>
      </c>
      <c r="AG97" s="34">
        <v>11.83</v>
      </c>
      <c r="AH97" s="33"/>
      <c r="AI97" s="32"/>
      <c r="AJ97" s="32"/>
      <c r="AK97" s="32"/>
      <c r="AL97" s="32"/>
      <c r="AM97" s="34"/>
      <c r="AN97" s="39">
        <f t="shared" si="6"/>
        <v>0.85666666666666658</v>
      </c>
      <c r="AO97" s="39">
        <f t="shared" si="7"/>
        <v>0.8666666666666667</v>
      </c>
      <c r="AP97" s="39">
        <f t="shared" si="8"/>
        <v>0.59333333333333338</v>
      </c>
      <c r="AQ97" s="39">
        <f t="shared" si="9"/>
        <v>0.32666666666666666</v>
      </c>
      <c r="AR97" s="39">
        <f t="shared" si="10"/>
        <v>9.3466666666666658</v>
      </c>
      <c r="AS97" s="39">
        <f t="shared" si="11"/>
        <v>10.933333333333332</v>
      </c>
      <c r="AT97" s="39">
        <f t="shared" si="12"/>
        <v>0.92</v>
      </c>
      <c r="AU97" s="39">
        <f t="shared" si="13"/>
        <v>20.279999999999998</v>
      </c>
      <c r="AV97" s="39" t="e">
        <f t="shared" si="14"/>
        <v>#DIV/0!</v>
      </c>
      <c r="AW97" s="39" t="e">
        <f t="shared" si="15"/>
        <v>#DIV/0!</v>
      </c>
    </row>
    <row r="98" spans="1:49" s="39" customFormat="1" x14ac:dyDescent="0.3">
      <c r="A98" s="4" t="s">
        <v>176</v>
      </c>
      <c r="B98" s="2" t="s">
        <v>177</v>
      </c>
      <c r="C98" s="2" t="s">
        <v>179</v>
      </c>
      <c r="D98" s="1" t="s">
        <v>42</v>
      </c>
      <c r="E98" s="2" t="s">
        <v>186</v>
      </c>
      <c r="F98" s="2" t="s">
        <v>178</v>
      </c>
      <c r="G98" s="37" t="s">
        <v>183</v>
      </c>
      <c r="H98" s="1">
        <v>5009</v>
      </c>
      <c r="I98" s="2" t="s">
        <v>207</v>
      </c>
      <c r="J98" s="6">
        <v>108</v>
      </c>
      <c r="K98" s="6">
        <v>-2.2312805070000001</v>
      </c>
      <c r="L98" s="1">
        <v>0.13377345500000001</v>
      </c>
      <c r="M98" s="1">
        <v>0.75479903500000001</v>
      </c>
      <c r="N98" s="1">
        <v>3</v>
      </c>
      <c r="O98" s="2" t="s">
        <v>251</v>
      </c>
      <c r="P98" s="17">
        <v>0.89</v>
      </c>
      <c r="Q98" s="2">
        <v>0.89</v>
      </c>
      <c r="R98" s="2">
        <v>0.9</v>
      </c>
      <c r="S98" s="2">
        <v>0.89</v>
      </c>
      <c r="T98" s="2">
        <v>0.9</v>
      </c>
      <c r="U98" s="2">
        <v>0.88</v>
      </c>
      <c r="V98" s="2">
        <v>0.79</v>
      </c>
      <c r="W98" s="2">
        <v>0.56999999999999995</v>
      </c>
      <c r="X98" s="2">
        <v>3.41</v>
      </c>
      <c r="Y98" s="2">
        <v>3.6</v>
      </c>
      <c r="Z98" s="2">
        <v>0.81</v>
      </c>
      <c r="AA98" s="2">
        <v>0.59</v>
      </c>
      <c r="AB98" s="2">
        <v>3.01</v>
      </c>
      <c r="AC98" s="2">
        <v>3.16</v>
      </c>
      <c r="AD98" s="2">
        <v>0.81</v>
      </c>
      <c r="AE98" s="2">
        <v>0.57999999999999996</v>
      </c>
      <c r="AF98" s="2">
        <v>3.16</v>
      </c>
      <c r="AG98" s="13">
        <v>3.19</v>
      </c>
      <c r="AH98" s="17"/>
      <c r="AI98" s="2"/>
      <c r="AJ98" s="2"/>
      <c r="AK98" s="2"/>
      <c r="AL98" s="2"/>
      <c r="AM98" s="13"/>
      <c r="AN98" s="39">
        <f t="shared" si="6"/>
        <v>0.89666666666666661</v>
      </c>
      <c r="AO98" s="39">
        <f t="shared" si="7"/>
        <v>0.88666666666666671</v>
      </c>
      <c r="AP98" s="39">
        <f t="shared" si="8"/>
        <v>0.80333333333333334</v>
      </c>
      <c r="AQ98" s="39">
        <f t="shared" si="9"/>
        <v>0.57999999999999996</v>
      </c>
      <c r="AR98" s="39">
        <f t="shared" si="10"/>
        <v>3.1933333333333334</v>
      </c>
      <c r="AS98" s="39">
        <f t="shared" si="11"/>
        <v>3.3166666666666664</v>
      </c>
      <c r="AT98" s="39">
        <f t="shared" si="12"/>
        <v>1.3833333333333333</v>
      </c>
      <c r="AU98" s="39">
        <f t="shared" si="13"/>
        <v>6.51</v>
      </c>
      <c r="AV98" s="39" t="e">
        <f t="shared" si="14"/>
        <v>#DIV/0!</v>
      </c>
      <c r="AW98" s="39" t="e">
        <f t="shared" si="15"/>
        <v>#DIV/0!</v>
      </c>
    </row>
    <row r="99" spans="1:49" s="39" customFormat="1" x14ac:dyDescent="0.3">
      <c r="A99" s="9" t="s">
        <v>176</v>
      </c>
      <c r="B99" s="10" t="s">
        <v>177</v>
      </c>
      <c r="C99" s="10" t="s">
        <v>179</v>
      </c>
      <c r="D99" s="11" t="s">
        <v>92</v>
      </c>
      <c r="E99" s="10" t="s">
        <v>186</v>
      </c>
      <c r="F99" s="10" t="s">
        <v>178</v>
      </c>
      <c r="G99" s="10" t="s">
        <v>183</v>
      </c>
      <c r="H99" s="11">
        <v>5009</v>
      </c>
      <c r="I99" s="10" t="s">
        <v>207</v>
      </c>
      <c r="J99" s="12">
        <v>108</v>
      </c>
      <c r="K99" s="12">
        <v>-2.2312805070000001</v>
      </c>
      <c r="L99" s="11">
        <v>0.13377345500000001</v>
      </c>
      <c r="M99" s="11">
        <v>0.75479903500000001</v>
      </c>
      <c r="N99" s="11">
        <v>3</v>
      </c>
      <c r="O99" s="10" t="s">
        <v>251</v>
      </c>
      <c r="P99" s="17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13"/>
      <c r="AH99" s="17"/>
      <c r="AI99" s="2"/>
      <c r="AJ99" s="2"/>
      <c r="AK99" s="2"/>
      <c r="AL99" s="2"/>
      <c r="AM99" s="13"/>
      <c r="AN99" s="39" t="e">
        <f t="shared" si="6"/>
        <v>#DIV/0!</v>
      </c>
      <c r="AO99" s="39" t="e">
        <f t="shared" si="7"/>
        <v>#DIV/0!</v>
      </c>
      <c r="AP99" s="39" t="e">
        <f t="shared" si="8"/>
        <v>#DIV/0!</v>
      </c>
      <c r="AQ99" s="39" t="e">
        <f t="shared" si="9"/>
        <v>#DIV/0!</v>
      </c>
      <c r="AR99" s="39" t="e">
        <f t="shared" si="10"/>
        <v>#DIV/0!</v>
      </c>
      <c r="AS99" s="39" t="e">
        <f t="shared" si="11"/>
        <v>#DIV/0!</v>
      </c>
      <c r="AT99" s="39" t="e">
        <f t="shared" si="12"/>
        <v>#DIV/0!</v>
      </c>
      <c r="AU99" s="39" t="e">
        <f t="shared" si="13"/>
        <v>#DIV/0!</v>
      </c>
      <c r="AV99" s="39" t="e">
        <f t="shared" si="14"/>
        <v>#DIV/0!</v>
      </c>
      <c r="AW99" s="39" t="e">
        <f t="shared" si="15"/>
        <v>#DIV/0!</v>
      </c>
    </row>
    <row r="100" spans="1:49" s="39" customFormat="1" x14ac:dyDescent="0.3">
      <c r="A100" s="4" t="s">
        <v>176</v>
      </c>
      <c r="B100" s="2" t="s">
        <v>177</v>
      </c>
      <c r="C100" s="2" t="s">
        <v>179</v>
      </c>
      <c r="D100" s="1" t="s">
        <v>93</v>
      </c>
      <c r="E100" s="2" t="s">
        <v>186</v>
      </c>
      <c r="F100" s="2" t="s">
        <v>178</v>
      </c>
      <c r="G100" s="2" t="s">
        <v>183</v>
      </c>
      <c r="H100" s="1">
        <v>5010</v>
      </c>
      <c r="I100" s="1" t="s">
        <v>207</v>
      </c>
      <c r="J100" s="1"/>
      <c r="K100" s="1">
        <v>-1.9502369450000001</v>
      </c>
      <c r="L100" s="1">
        <v>0.22606901300000001</v>
      </c>
      <c r="M100" s="1">
        <v>0.61808823800000001</v>
      </c>
      <c r="N100" s="1">
        <v>3</v>
      </c>
      <c r="O100" s="2" t="s">
        <v>250</v>
      </c>
      <c r="P100" s="17">
        <v>0.89</v>
      </c>
      <c r="Q100" s="2">
        <v>0.89</v>
      </c>
      <c r="R100" s="2">
        <v>0.9</v>
      </c>
      <c r="S100" s="2">
        <v>0.89</v>
      </c>
      <c r="T100" s="2">
        <v>0.9</v>
      </c>
      <c r="U100" s="2">
        <v>0.89</v>
      </c>
      <c r="V100" s="2">
        <v>0.76</v>
      </c>
      <c r="W100" s="2">
        <v>0.55000000000000004</v>
      </c>
      <c r="X100" s="2">
        <v>4.72</v>
      </c>
      <c r="Y100" s="2">
        <v>4.4000000000000004</v>
      </c>
      <c r="Z100" s="2">
        <v>0.77</v>
      </c>
      <c r="AA100" s="2">
        <v>0.55000000000000004</v>
      </c>
      <c r="AB100" s="2">
        <v>3.62</v>
      </c>
      <c r="AC100" s="2">
        <v>3.76</v>
      </c>
      <c r="AD100" s="2">
        <v>0.79</v>
      </c>
      <c r="AE100" s="2">
        <v>0.56999999999999995</v>
      </c>
      <c r="AF100" s="2">
        <v>3.28</v>
      </c>
      <c r="AG100" s="13">
        <v>3.36</v>
      </c>
      <c r="AH100" s="17"/>
      <c r="AI100" s="2"/>
      <c r="AJ100" s="2"/>
      <c r="AK100" s="2"/>
      <c r="AL100" s="2"/>
      <c r="AM100" s="13"/>
      <c r="AN100" s="39">
        <f t="shared" si="6"/>
        <v>0.89666666666666661</v>
      </c>
      <c r="AO100" s="39">
        <f t="shared" si="7"/>
        <v>0.89</v>
      </c>
      <c r="AP100" s="39">
        <f t="shared" si="8"/>
        <v>0.77333333333333343</v>
      </c>
      <c r="AQ100" s="39">
        <f t="shared" si="9"/>
        <v>0.55666666666666664</v>
      </c>
      <c r="AR100" s="39">
        <f t="shared" si="10"/>
        <v>3.8733333333333331</v>
      </c>
      <c r="AS100" s="39">
        <f t="shared" si="11"/>
        <v>3.84</v>
      </c>
      <c r="AT100" s="39">
        <f t="shared" si="12"/>
        <v>1.33</v>
      </c>
      <c r="AU100" s="39">
        <f t="shared" si="13"/>
        <v>7.7133333333333329</v>
      </c>
      <c r="AV100" s="39" t="e">
        <f t="shared" si="14"/>
        <v>#DIV/0!</v>
      </c>
      <c r="AW100" s="39" t="e">
        <f t="shared" si="15"/>
        <v>#DIV/0!</v>
      </c>
    </row>
    <row r="101" spans="1:49" s="39" customFormat="1" x14ac:dyDescent="0.3">
      <c r="A101" s="4" t="s">
        <v>176</v>
      </c>
      <c r="B101" s="2" t="s">
        <v>177</v>
      </c>
      <c r="C101" s="2" t="s">
        <v>179</v>
      </c>
      <c r="D101" s="1" t="s">
        <v>94</v>
      </c>
      <c r="E101" s="2" t="s">
        <v>186</v>
      </c>
      <c r="F101" s="2" t="s">
        <v>178</v>
      </c>
      <c r="G101" s="2" t="s">
        <v>183</v>
      </c>
      <c r="H101" s="1">
        <v>5011</v>
      </c>
      <c r="I101" s="2" t="s">
        <v>207</v>
      </c>
      <c r="J101" s="6">
        <v>161</v>
      </c>
      <c r="K101" s="6">
        <v>-2.0745936789999999</v>
      </c>
      <c r="L101" s="1">
        <v>0.155950904</v>
      </c>
      <c r="M101" s="1">
        <v>0.71710083899999999</v>
      </c>
      <c r="N101" s="1">
        <v>3</v>
      </c>
      <c r="O101" s="2" t="s">
        <v>250</v>
      </c>
      <c r="P101" s="17">
        <v>0.86</v>
      </c>
      <c r="Q101" s="2">
        <v>0.88</v>
      </c>
      <c r="R101" s="2">
        <v>0.89</v>
      </c>
      <c r="S101" s="2">
        <v>0.88</v>
      </c>
      <c r="T101" s="2">
        <v>0.9</v>
      </c>
      <c r="U101" s="2">
        <v>0.89</v>
      </c>
      <c r="V101" s="2">
        <v>0.53</v>
      </c>
      <c r="W101" s="2">
        <v>0.3</v>
      </c>
      <c r="X101" s="2">
        <v>9.86</v>
      </c>
      <c r="Y101" s="2">
        <v>10.99</v>
      </c>
      <c r="Z101" s="2">
        <v>0.75</v>
      </c>
      <c r="AA101" s="2">
        <v>0.53</v>
      </c>
      <c r="AB101" s="2">
        <v>3.91</v>
      </c>
      <c r="AC101" s="2">
        <v>3.8</v>
      </c>
      <c r="AD101" s="2">
        <v>0.8</v>
      </c>
      <c r="AE101" s="2">
        <v>0.57999999999999996</v>
      </c>
      <c r="AF101" s="2">
        <v>3.08</v>
      </c>
      <c r="AG101" s="13">
        <v>2.95</v>
      </c>
      <c r="AH101" s="17"/>
      <c r="AI101" s="2"/>
      <c r="AJ101" s="2"/>
      <c r="AK101" s="2"/>
      <c r="AL101" s="2"/>
      <c r="AM101" s="13"/>
      <c r="AN101" s="39">
        <f t="shared" si="6"/>
        <v>0.8833333333333333</v>
      </c>
      <c r="AO101" s="39">
        <f t="shared" si="7"/>
        <v>0.8833333333333333</v>
      </c>
      <c r="AP101" s="39">
        <f t="shared" si="8"/>
        <v>0.69333333333333336</v>
      </c>
      <c r="AQ101" s="39">
        <f t="shared" si="9"/>
        <v>0.47000000000000003</v>
      </c>
      <c r="AR101" s="39">
        <f t="shared" si="10"/>
        <v>5.6166666666666671</v>
      </c>
      <c r="AS101" s="39">
        <f t="shared" si="11"/>
        <v>5.9133333333333331</v>
      </c>
      <c r="AT101" s="39">
        <f t="shared" si="12"/>
        <v>1.1633333333333333</v>
      </c>
      <c r="AU101" s="39">
        <f t="shared" si="13"/>
        <v>11.530000000000001</v>
      </c>
      <c r="AV101" s="39" t="e">
        <f t="shared" si="14"/>
        <v>#DIV/0!</v>
      </c>
      <c r="AW101" s="39" t="e">
        <f t="shared" si="15"/>
        <v>#DIV/0!</v>
      </c>
    </row>
    <row r="102" spans="1:49" s="39" customFormat="1" x14ac:dyDescent="0.3">
      <c r="A102" s="4" t="s">
        <v>176</v>
      </c>
      <c r="B102" s="2" t="s">
        <v>177</v>
      </c>
      <c r="C102" s="2" t="s">
        <v>179</v>
      </c>
      <c r="D102" s="1" t="s">
        <v>95</v>
      </c>
      <c r="E102" s="2" t="s">
        <v>186</v>
      </c>
      <c r="F102" s="2" t="s">
        <v>178</v>
      </c>
      <c r="G102" s="2" t="s">
        <v>183</v>
      </c>
      <c r="H102" s="1">
        <v>5012</v>
      </c>
      <c r="I102" s="1" t="s">
        <v>207</v>
      </c>
      <c r="J102" s="1"/>
      <c r="K102" s="1">
        <v>-2.2829143859999999</v>
      </c>
      <c r="L102" s="1">
        <v>2.4057947999999999E-2</v>
      </c>
      <c r="M102" s="1">
        <v>0.958078243</v>
      </c>
      <c r="N102" s="1">
        <v>3</v>
      </c>
      <c r="O102" s="2" t="s">
        <v>250</v>
      </c>
      <c r="P102" s="17">
        <v>0.89</v>
      </c>
      <c r="Q102" s="2">
        <v>0.89</v>
      </c>
      <c r="R102" s="2">
        <v>0.9</v>
      </c>
      <c r="S102" s="2">
        <v>0.88</v>
      </c>
      <c r="T102" s="2">
        <v>0.9</v>
      </c>
      <c r="U102" s="2">
        <v>0.89</v>
      </c>
      <c r="V102" s="2">
        <v>0.68</v>
      </c>
      <c r="W102" s="2">
        <v>0.51</v>
      </c>
      <c r="X102" s="2">
        <v>5.07</v>
      </c>
      <c r="Y102" s="2">
        <v>3.93</v>
      </c>
      <c r="Z102" s="2">
        <v>0.78</v>
      </c>
      <c r="AA102" s="2">
        <v>0.56000000000000005</v>
      </c>
      <c r="AB102" s="2">
        <v>3.8</v>
      </c>
      <c r="AC102" s="2">
        <v>3.79</v>
      </c>
      <c r="AD102" s="2">
        <v>0.77</v>
      </c>
      <c r="AE102" s="2">
        <v>0.56000000000000005</v>
      </c>
      <c r="AF102" s="2">
        <v>3.68</v>
      </c>
      <c r="AG102" s="13">
        <v>3.49</v>
      </c>
      <c r="AH102" s="17"/>
      <c r="AI102" s="2"/>
      <c r="AJ102" s="2"/>
      <c r="AK102" s="2"/>
      <c r="AL102" s="2"/>
      <c r="AM102" s="13"/>
      <c r="AN102" s="39">
        <f t="shared" si="6"/>
        <v>0.89666666666666661</v>
      </c>
      <c r="AO102" s="39">
        <f t="shared" si="7"/>
        <v>0.88666666666666671</v>
      </c>
      <c r="AP102" s="39">
        <f t="shared" si="8"/>
        <v>0.74333333333333329</v>
      </c>
      <c r="AQ102" s="39">
        <f t="shared" si="9"/>
        <v>0.54333333333333333</v>
      </c>
      <c r="AR102" s="39">
        <f t="shared" si="10"/>
        <v>4.1833333333333336</v>
      </c>
      <c r="AS102" s="39">
        <f t="shared" si="11"/>
        <v>3.7366666666666668</v>
      </c>
      <c r="AT102" s="39">
        <f t="shared" si="12"/>
        <v>1.2866666666666666</v>
      </c>
      <c r="AU102" s="39">
        <f t="shared" si="13"/>
        <v>7.92</v>
      </c>
      <c r="AV102" s="39" t="e">
        <f t="shared" si="14"/>
        <v>#DIV/0!</v>
      </c>
      <c r="AW102" s="39" t="e">
        <f t="shared" si="15"/>
        <v>#DIV/0!</v>
      </c>
    </row>
    <row r="103" spans="1:49" s="39" customFormat="1" x14ac:dyDescent="0.3">
      <c r="A103" s="4" t="s">
        <v>176</v>
      </c>
      <c r="B103" s="2" t="s">
        <v>177</v>
      </c>
      <c r="C103" s="2" t="s">
        <v>179</v>
      </c>
      <c r="D103" s="1" t="s">
        <v>33</v>
      </c>
      <c r="E103" s="2" t="s">
        <v>186</v>
      </c>
      <c r="F103" s="2" t="s">
        <v>178</v>
      </c>
      <c r="G103" s="2" t="s">
        <v>181</v>
      </c>
      <c r="H103" s="36">
        <v>5013</v>
      </c>
      <c r="I103" s="1" t="s">
        <v>207</v>
      </c>
      <c r="J103" s="1"/>
      <c r="K103" s="1">
        <v>3.6708733210000002</v>
      </c>
      <c r="L103" s="1">
        <v>-1.3115822939999999</v>
      </c>
      <c r="M103" s="1">
        <v>3.0888900000000002E-4</v>
      </c>
      <c r="N103" s="1">
        <v>1</v>
      </c>
      <c r="O103" s="35" t="s">
        <v>248</v>
      </c>
      <c r="P103" s="17">
        <v>0.92</v>
      </c>
      <c r="Q103" s="2">
        <v>0.89</v>
      </c>
      <c r="R103" s="2">
        <v>0.92</v>
      </c>
      <c r="S103" s="2">
        <v>0.9</v>
      </c>
      <c r="T103" s="2">
        <v>0.92</v>
      </c>
      <c r="U103" s="2">
        <v>0.89</v>
      </c>
      <c r="V103" s="2">
        <v>0.91</v>
      </c>
      <c r="W103" s="2">
        <v>0.7</v>
      </c>
      <c r="X103" s="2">
        <v>1.8</v>
      </c>
      <c r="Y103" s="2">
        <v>1.92</v>
      </c>
      <c r="Z103" s="2">
        <v>0.9</v>
      </c>
      <c r="AA103" s="2">
        <v>0.69</v>
      </c>
      <c r="AB103" s="2">
        <v>1.67</v>
      </c>
      <c r="AC103" s="2">
        <v>1.84</v>
      </c>
      <c r="AD103" s="2">
        <v>0.92</v>
      </c>
      <c r="AE103" s="2">
        <v>0.71</v>
      </c>
      <c r="AF103" s="2">
        <v>1.68</v>
      </c>
      <c r="AG103" s="13">
        <v>1.98</v>
      </c>
      <c r="AH103" s="17"/>
      <c r="AI103" s="2"/>
      <c r="AJ103" s="2"/>
      <c r="AK103" s="2"/>
      <c r="AL103" s="2"/>
      <c r="AM103" s="13"/>
      <c r="AN103" s="39">
        <f t="shared" si="6"/>
        <v>0.92</v>
      </c>
      <c r="AO103" s="39">
        <f t="shared" si="7"/>
        <v>0.89333333333333342</v>
      </c>
      <c r="AP103" s="39">
        <f t="shared" si="8"/>
        <v>0.91</v>
      </c>
      <c r="AQ103" s="39">
        <f t="shared" si="9"/>
        <v>0.69999999999999984</v>
      </c>
      <c r="AR103" s="39">
        <f t="shared" si="10"/>
        <v>1.7166666666666666</v>
      </c>
      <c r="AS103" s="39">
        <f t="shared" si="11"/>
        <v>1.9133333333333333</v>
      </c>
      <c r="AT103" s="39">
        <f t="shared" si="12"/>
        <v>1.6099999999999999</v>
      </c>
      <c r="AU103" s="39">
        <f t="shared" si="13"/>
        <v>3.63</v>
      </c>
      <c r="AV103" s="39" t="e">
        <f t="shared" si="14"/>
        <v>#DIV/0!</v>
      </c>
      <c r="AW103" s="39" t="e">
        <f t="shared" si="15"/>
        <v>#DIV/0!</v>
      </c>
    </row>
    <row r="104" spans="1:49" s="39" customFormat="1" x14ac:dyDescent="0.3">
      <c r="A104" s="4" t="s">
        <v>176</v>
      </c>
      <c r="B104" s="2" t="s">
        <v>177</v>
      </c>
      <c r="C104" s="2" t="s">
        <v>179</v>
      </c>
      <c r="D104" s="1" t="s">
        <v>34</v>
      </c>
      <c r="E104" s="2" t="s">
        <v>186</v>
      </c>
      <c r="F104" s="2" t="s">
        <v>178</v>
      </c>
      <c r="G104" s="37" t="s">
        <v>181</v>
      </c>
      <c r="H104" s="1">
        <v>5014</v>
      </c>
      <c r="I104" s="1" t="s">
        <v>207</v>
      </c>
      <c r="J104" s="1"/>
      <c r="K104" s="1">
        <v>-2.2517363459999999</v>
      </c>
      <c r="L104" s="1">
        <v>0.57789959899999999</v>
      </c>
      <c r="M104" s="1">
        <v>0.15445488299999999</v>
      </c>
      <c r="N104" s="1">
        <v>1</v>
      </c>
      <c r="O104" s="2" t="s">
        <v>251</v>
      </c>
      <c r="P104" s="17">
        <v>0.9</v>
      </c>
      <c r="Q104" s="2">
        <v>0.88</v>
      </c>
      <c r="R104" s="2">
        <v>0.9</v>
      </c>
      <c r="S104" s="2">
        <v>0.88</v>
      </c>
      <c r="T104" s="2">
        <v>0.91</v>
      </c>
      <c r="U104" s="2">
        <v>0.88</v>
      </c>
      <c r="V104" s="2">
        <v>0.87</v>
      </c>
      <c r="W104" s="2">
        <v>0.63</v>
      </c>
      <c r="X104" s="2">
        <v>3</v>
      </c>
      <c r="Y104" s="2">
        <v>3.24</v>
      </c>
      <c r="Z104" s="2">
        <v>0.87</v>
      </c>
      <c r="AA104" s="2">
        <v>0.62</v>
      </c>
      <c r="AB104" s="2">
        <v>2.97</v>
      </c>
      <c r="AC104" s="2">
        <v>3.54</v>
      </c>
      <c r="AD104" s="2">
        <v>0.88</v>
      </c>
      <c r="AE104" s="2">
        <v>0.63</v>
      </c>
      <c r="AF104" s="2">
        <v>2.98</v>
      </c>
      <c r="AG104" s="13">
        <v>3.09</v>
      </c>
      <c r="AH104" s="17"/>
      <c r="AI104" s="2"/>
      <c r="AJ104" s="2"/>
      <c r="AK104" s="2"/>
      <c r="AL104" s="2"/>
      <c r="AM104" s="13"/>
      <c r="AN104" s="39">
        <f t="shared" si="6"/>
        <v>0.90333333333333332</v>
      </c>
      <c r="AO104" s="39">
        <f t="shared" si="7"/>
        <v>0.88</v>
      </c>
      <c r="AP104" s="39">
        <f t="shared" si="8"/>
        <v>0.87333333333333341</v>
      </c>
      <c r="AQ104" s="39">
        <f t="shared" si="9"/>
        <v>0.62666666666666659</v>
      </c>
      <c r="AR104" s="39">
        <f t="shared" si="10"/>
        <v>2.9833333333333338</v>
      </c>
      <c r="AS104" s="39">
        <f t="shared" si="11"/>
        <v>3.2900000000000005</v>
      </c>
      <c r="AT104" s="39">
        <f t="shared" si="12"/>
        <v>1.5</v>
      </c>
      <c r="AU104" s="39">
        <f t="shared" si="13"/>
        <v>6.2733333333333343</v>
      </c>
      <c r="AV104" s="39" t="e">
        <f t="shared" si="14"/>
        <v>#DIV/0!</v>
      </c>
      <c r="AW104" s="39" t="e">
        <f t="shared" si="15"/>
        <v>#DIV/0!</v>
      </c>
    </row>
    <row r="105" spans="1:49" s="39" customFormat="1" x14ac:dyDescent="0.3">
      <c r="A105" s="4" t="s">
        <v>176</v>
      </c>
      <c r="B105" s="2" t="s">
        <v>177</v>
      </c>
      <c r="C105" s="2" t="s">
        <v>179</v>
      </c>
      <c r="D105" s="1" t="s">
        <v>35</v>
      </c>
      <c r="E105" s="2" t="s">
        <v>186</v>
      </c>
      <c r="F105" s="2" t="s">
        <v>178</v>
      </c>
      <c r="G105" s="37" t="s">
        <v>181</v>
      </c>
      <c r="H105" s="1">
        <v>5015</v>
      </c>
      <c r="I105" s="1" t="s">
        <v>207</v>
      </c>
      <c r="J105" s="1"/>
      <c r="K105" s="1">
        <v>-2.1554243799999999</v>
      </c>
      <c r="L105" s="1">
        <v>0.35818375499999999</v>
      </c>
      <c r="M105" s="1">
        <v>0.41907604399999998</v>
      </c>
      <c r="N105" s="1">
        <v>1</v>
      </c>
      <c r="O105" s="2" t="s">
        <v>250</v>
      </c>
      <c r="P105" s="17">
        <v>0.91</v>
      </c>
      <c r="Q105" s="2">
        <v>0.89</v>
      </c>
      <c r="R105" s="2">
        <v>0.92</v>
      </c>
      <c r="S105" s="2">
        <v>0.89</v>
      </c>
      <c r="T105" s="2">
        <v>0.91</v>
      </c>
      <c r="U105" s="2">
        <v>0.89</v>
      </c>
      <c r="V105" s="2">
        <v>0.89</v>
      </c>
      <c r="W105" s="2">
        <v>0.67</v>
      </c>
      <c r="X105" s="2">
        <v>2.35</v>
      </c>
      <c r="Y105" s="2">
        <v>2.4300000000000002</v>
      </c>
      <c r="Z105" s="2">
        <v>0.89</v>
      </c>
      <c r="AA105" s="2">
        <v>0.67</v>
      </c>
      <c r="AB105" s="2">
        <v>2.36</v>
      </c>
      <c r="AC105" s="2">
        <v>2.34</v>
      </c>
      <c r="AD105" s="2">
        <v>0.89</v>
      </c>
      <c r="AE105" s="2">
        <v>0.68</v>
      </c>
      <c r="AF105" s="2">
        <v>2.2799999999999998</v>
      </c>
      <c r="AG105" s="13">
        <v>2.15</v>
      </c>
      <c r="AH105" s="17"/>
      <c r="AI105" s="2"/>
      <c r="AJ105" s="2"/>
      <c r="AK105" s="2"/>
      <c r="AL105" s="2"/>
      <c r="AM105" s="13"/>
      <c r="AN105" s="39">
        <f t="shared" si="6"/>
        <v>0.91333333333333344</v>
      </c>
      <c r="AO105" s="39">
        <f t="shared" si="7"/>
        <v>0.89</v>
      </c>
      <c r="AP105" s="39">
        <f t="shared" si="8"/>
        <v>0.89</v>
      </c>
      <c r="AQ105" s="39">
        <f t="shared" si="9"/>
        <v>0.67333333333333334</v>
      </c>
      <c r="AR105" s="39">
        <f t="shared" si="10"/>
        <v>2.33</v>
      </c>
      <c r="AS105" s="39">
        <f t="shared" si="11"/>
        <v>2.3066666666666666</v>
      </c>
      <c r="AT105" s="39">
        <f t="shared" si="12"/>
        <v>1.5633333333333335</v>
      </c>
      <c r="AU105" s="39">
        <f t="shared" si="13"/>
        <v>4.6366666666666667</v>
      </c>
      <c r="AV105" s="39" t="e">
        <f t="shared" si="14"/>
        <v>#DIV/0!</v>
      </c>
      <c r="AW105" s="39" t="e">
        <f t="shared" si="15"/>
        <v>#DIV/0!</v>
      </c>
    </row>
    <row r="106" spans="1:49" s="39" customFormat="1" x14ac:dyDescent="0.3">
      <c r="A106" s="7" t="s">
        <v>176</v>
      </c>
      <c r="B106" s="8" t="s">
        <v>177</v>
      </c>
      <c r="C106" s="8" t="s">
        <v>179</v>
      </c>
      <c r="D106" s="8" t="s">
        <v>179</v>
      </c>
      <c r="E106" s="8" t="s">
        <v>186</v>
      </c>
      <c r="F106" s="8" t="s">
        <v>178</v>
      </c>
      <c r="G106" s="37" t="s">
        <v>179</v>
      </c>
      <c r="H106" s="8" t="s">
        <v>213</v>
      </c>
      <c r="I106" s="8" t="s">
        <v>199</v>
      </c>
      <c r="J106" s="8" t="s">
        <v>200</v>
      </c>
      <c r="K106" s="8">
        <v>6.5208283859999998</v>
      </c>
      <c r="L106" s="8">
        <v>-2.8460292780000001</v>
      </c>
      <c r="M106" s="8">
        <v>1.7400000000000001E-115</v>
      </c>
      <c r="N106" s="8" t="s">
        <v>201</v>
      </c>
      <c r="O106" s="8" t="s">
        <v>248</v>
      </c>
      <c r="P106" s="18">
        <v>0.91</v>
      </c>
      <c r="Q106" s="8">
        <v>0.89</v>
      </c>
      <c r="R106" s="8">
        <v>0.91</v>
      </c>
      <c r="S106" s="8">
        <v>0.89</v>
      </c>
      <c r="T106" s="8">
        <v>0.63</v>
      </c>
      <c r="U106" s="8">
        <v>0.82</v>
      </c>
      <c r="V106" s="8">
        <v>0.9</v>
      </c>
      <c r="W106" s="8">
        <v>0.67</v>
      </c>
      <c r="X106" s="8">
        <v>2.09</v>
      </c>
      <c r="Y106" s="8">
        <v>2.5</v>
      </c>
      <c r="Z106" s="8">
        <v>0.88</v>
      </c>
      <c r="AA106" s="8">
        <v>0.65</v>
      </c>
      <c r="AB106" s="8">
        <v>2.2999999999999998</v>
      </c>
      <c r="AC106" s="8">
        <v>2.4500000000000002</v>
      </c>
      <c r="AD106" s="8">
        <v>0.82</v>
      </c>
      <c r="AE106" s="8">
        <v>0.3</v>
      </c>
      <c r="AF106" s="8">
        <v>3.38</v>
      </c>
      <c r="AG106" s="19">
        <v>12.52</v>
      </c>
      <c r="AH106" s="18"/>
      <c r="AI106" s="8"/>
      <c r="AJ106" s="8"/>
      <c r="AK106" s="8"/>
      <c r="AL106" s="8"/>
      <c r="AM106" s="19"/>
      <c r="AN106" s="39">
        <f t="shared" si="6"/>
        <v>0.81666666666666676</v>
      </c>
      <c r="AO106" s="39">
        <f t="shared" si="7"/>
        <v>0.8666666666666667</v>
      </c>
      <c r="AP106" s="39">
        <f t="shared" si="8"/>
        <v>0.8666666666666667</v>
      </c>
      <c r="AQ106" s="39">
        <f t="shared" si="9"/>
        <v>0.54</v>
      </c>
      <c r="AR106" s="39">
        <f t="shared" si="10"/>
        <v>2.59</v>
      </c>
      <c r="AS106" s="39">
        <f t="shared" si="11"/>
        <v>5.8233333333333333</v>
      </c>
      <c r="AT106" s="39">
        <f t="shared" si="12"/>
        <v>1.4066666666666667</v>
      </c>
      <c r="AU106" s="39">
        <f t="shared" si="13"/>
        <v>8.413333333333334</v>
      </c>
      <c r="AV106" s="39" t="e">
        <f t="shared" si="14"/>
        <v>#DIV/0!</v>
      </c>
      <c r="AW106" s="39" t="e">
        <f t="shared" si="15"/>
        <v>#DIV/0!</v>
      </c>
    </row>
    <row r="107" spans="1:49" s="39" customFormat="1" x14ac:dyDescent="0.3">
      <c r="A107" s="7" t="s">
        <v>176</v>
      </c>
      <c r="B107" s="8" t="s">
        <v>177</v>
      </c>
      <c r="C107" s="8" t="s">
        <v>179</v>
      </c>
      <c r="D107" s="8" t="s">
        <v>179</v>
      </c>
      <c r="E107" s="8" t="s">
        <v>186</v>
      </c>
      <c r="F107" s="8" t="s">
        <v>178</v>
      </c>
      <c r="G107" s="8" t="s">
        <v>179</v>
      </c>
      <c r="H107" s="8" t="s">
        <v>194</v>
      </c>
      <c r="I107" s="8" t="s">
        <v>199</v>
      </c>
      <c r="J107" s="8" t="s">
        <v>200</v>
      </c>
      <c r="K107" s="8">
        <v>-2.4515511650000001</v>
      </c>
      <c r="L107" s="8">
        <v>-0.35800794400000002</v>
      </c>
      <c r="M107" s="8">
        <v>1.3709555999999999E-2</v>
      </c>
      <c r="N107" s="8" t="s">
        <v>201</v>
      </c>
      <c r="O107" s="8" t="s">
        <v>251</v>
      </c>
      <c r="P107" s="18">
        <v>0.57999999999999996</v>
      </c>
      <c r="Q107" s="8">
        <v>0.8</v>
      </c>
      <c r="R107" s="8">
        <v>0.69</v>
      </c>
      <c r="S107" s="8">
        <v>0.84</v>
      </c>
      <c r="T107" s="8">
        <v>0.68</v>
      </c>
      <c r="U107" s="8">
        <v>0.84</v>
      </c>
      <c r="V107" s="8">
        <v>0.82</v>
      </c>
      <c r="W107" s="8">
        <v>0.16</v>
      </c>
      <c r="X107" s="8">
        <v>3.55</v>
      </c>
      <c r="Y107" s="8">
        <v>12.73</v>
      </c>
      <c r="Z107" s="8">
        <v>0.63</v>
      </c>
      <c r="AA107" s="8">
        <v>0.24</v>
      </c>
      <c r="AB107" s="8">
        <v>6.73</v>
      </c>
      <c r="AC107" s="8">
        <v>14.78</v>
      </c>
      <c r="AD107" s="8">
        <v>0.68</v>
      </c>
      <c r="AE107" s="8">
        <v>0.24</v>
      </c>
      <c r="AF107" s="8">
        <v>6.69</v>
      </c>
      <c r="AG107" s="19">
        <v>14.48</v>
      </c>
      <c r="AH107" s="18"/>
      <c r="AI107" s="8"/>
      <c r="AJ107" s="8"/>
      <c r="AK107" s="8"/>
      <c r="AL107" s="8"/>
      <c r="AM107" s="19"/>
      <c r="AN107" s="39">
        <f t="shared" si="6"/>
        <v>0.65</v>
      </c>
      <c r="AO107" s="39">
        <f t="shared" si="7"/>
        <v>0.82666666666666666</v>
      </c>
      <c r="AP107" s="39">
        <f t="shared" si="8"/>
        <v>0.71</v>
      </c>
      <c r="AQ107" s="39">
        <f t="shared" si="9"/>
        <v>0.21333333333333335</v>
      </c>
      <c r="AR107" s="39">
        <f t="shared" si="10"/>
        <v>5.6566666666666672</v>
      </c>
      <c r="AS107" s="39">
        <f t="shared" si="11"/>
        <v>13.996666666666664</v>
      </c>
      <c r="AT107" s="39">
        <f t="shared" si="12"/>
        <v>0.92333333333333334</v>
      </c>
      <c r="AU107" s="39">
        <f t="shared" si="13"/>
        <v>19.653333333333332</v>
      </c>
      <c r="AV107" s="39" t="e">
        <f t="shared" si="14"/>
        <v>#DIV/0!</v>
      </c>
      <c r="AW107" s="39" t="e">
        <f t="shared" si="15"/>
        <v>#DIV/0!</v>
      </c>
    </row>
    <row r="108" spans="1:49" s="39" customFormat="1" x14ac:dyDescent="0.3">
      <c r="A108" s="4" t="s">
        <v>176</v>
      </c>
      <c r="B108" s="2" t="s">
        <v>177</v>
      </c>
      <c r="C108" s="2" t="s">
        <v>179</v>
      </c>
      <c r="D108" s="1" t="s">
        <v>13</v>
      </c>
      <c r="E108" s="2" t="s">
        <v>186</v>
      </c>
      <c r="F108" s="2" t="s">
        <v>178</v>
      </c>
      <c r="G108" s="2" t="s">
        <v>181</v>
      </c>
      <c r="H108" s="1" t="s">
        <v>195</v>
      </c>
      <c r="I108" s="1" t="s">
        <v>199</v>
      </c>
      <c r="J108" s="1"/>
      <c r="K108" s="30">
        <v>6.3914162499999998</v>
      </c>
      <c r="L108" s="1">
        <v>-1.872072143</v>
      </c>
      <c r="M108" s="1">
        <v>1.11E-36</v>
      </c>
      <c r="N108" s="1">
        <v>1</v>
      </c>
      <c r="O108" s="2" t="s">
        <v>248</v>
      </c>
      <c r="P108" s="17">
        <v>0.92</v>
      </c>
      <c r="Q108" s="2">
        <v>0.89</v>
      </c>
      <c r="R108" s="2">
        <v>0.92</v>
      </c>
      <c r="S108" s="2">
        <v>0.9</v>
      </c>
      <c r="T108" s="2">
        <v>0.91</v>
      </c>
      <c r="U108" s="2">
        <v>0.89</v>
      </c>
      <c r="V108" s="2">
        <v>0.92</v>
      </c>
      <c r="W108" s="2">
        <v>0.71</v>
      </c>
      <c r="X108" s="2">
        <v>1.75</v>
      </c>
      <c r="Y108" s="2">
        <v>1.83</v>
      </c>
      <c r="Z108" s="2">
        <v>0.91</v>
      </c>
      <c r="AA108" s="2">
        <v>0.71</v>
      </c>
      <c r="AB108" s="2">
        <v>1.75</v>
      </c>
      <c r="AC108" s="2">
        <v>1.92</v>
      </c>
      <c r="AD108" s="2">
        <v>0.91</v>
      </c>
      <c r="AE108" s="2">
        <v>0.71</v>
      </c>
      <c r="AF108" s="2">
        <v>1.79</v>
      </c>
      <c r="AG108" s="13">
        <v>1.86</v>
      </c>
      <c r="AH108" s="17"/>
      <c r="AI108" s="2"/>
      <c r="AJ108" s="2"/>
      <c r="AK108" s="2"/>
      <c r="AL108" s="2"/>
      <c r="AM108" s="29"/>
      <c r="AN108" s="39">
        <f t="shared" si="6"/>
        <v>0.91666666666666663</v>
      </c>
      <c r="AO108" s="39">
        <f t="shared" si="7"/>
        <v>0.89333333333333342</v>
      </c>
      <c r="AP108" s="39">
        <f t="shared" si="8"/>
        <v>0.91333333333333344</v>
      </c>
      <c r="AQ108" s="39">
        <f t="shared" si="9"/>
        <v>0.71</v>
      </c>
      <c r="AR108" s="39">
        <f t="shared" si="10"/>
        <v>1.7633333333333334</v>
      </c>
      <c r="AS108" s="39">
        <f t="shared" si="11"/>
        <v>1.87</v>
      </c>
      <c r="AT108" s="39">
        <f t="shared" si="12"/>
        <v>1.6233333333333335</v>
      </c>
      <c r="AU108" s="39">
        <f t="shared" si="13"/>
        <v>3.6333333333333337</v>
      </c>
      <c r="AV108" s="39" t="e">
        <f t="shared" si="14"/>
        <v>#DIV/0!</v>
      </c>
      <c r="AW108" s="39" t="e">
        <f t="shared" si="15"/>
        <v>#DIV/0!</v>
      </c>
    </row>
    <row r="109" spans="1:49" s="39" customFormat="1" x14ac:dyDescent="0.3">
      <c r="A109" s="4" t="s">
        <v>176</v>
      </c>
      <c r="B109" s="2" t="s">
        <v>177</v>
      </c>
      <c r="C109" s="2" t="s">
        <v>179</v>
      </c>
      <c r="D109" s="1" t="s">
        <v>36</v>
      </c>
      <c r="E109" s="2" t="s">
        <v>186</v>
      </c>
      <c r="F109" s="2" t="s">
        <v>178</v>
      </c>
      <c r="G109" s="2" t="s">
        <v>183</v>
      </c>
      <c r="H109" s="1" t="s">
        <v>196</v>
      </c>
      <c r="I109" s="1" t="s">
        <v>199</v>
      </c>
      <c r="J109" s="1"/>
      <c r="K109" s="1">
        <v>-9.7539160999999999E-2</v>
      </c>
      <c r="L109" s="1">
        <v>-0.35951275999999999</v>
      </c>
      <c r="M109" s="1">
        <v>7.7863699999999999E-3</v>
      </c>
      <c r="N109" s="1" t="s">
        <v>201</v>
      </c>
      <c r="O109" s="2" t="s">
        <v>250</v>
      </c>
      <c r="P109" s="17">
        <v>0.9</v>
      </c>
      <c r="Q109" s="2">
        <v>0.89</v>
      </c>
      <c r="R109" s="2">
        <v>0.92</v>
      </c>
      <c r="S109" s="2">
        <v>0.89</v>
      </c>
      <c r="T109" s="2">
        <v>0.91</v>
      </c>
      <c r="U109" s="2">
        <v>0.89</v>
      </c>
      <c r="V109" s="2">
        <v>0.8</v>
      </c>
      <c r="W109" s="2">
        <v>0.59</v>
      </c>
      <c r="X109" s="2">
        <v>3.71</v>
      </c>
      <c r="Y109" s="2">
        <v>3.26</v>
      </c>
      <c r="Z109" s="2">
        <v>0.89</v>
      </c>
      <c r="AA109" s="2">
        <v>0.68</v>
      </c>
      <c r="AB109" s="2">
        <v>2.59</v>
      </c>
      <c r="AC109" s="2">
        <v>2.29</v>
      </c>
      <c r="AD109" s="2">
        <v>0.88</v>
      </c>
      <c r="AE109" s="2">
        <v>0.67</v>
      </c>
      <c r="AF109" s="2">
        <v>2.86</v>
      </c>
      <c r="AG109" s="13">
        <v>2.44</v>
      </c>
      <c r="AH109" s="17"/>
      <c r="AI109" s="2"/>
      <c r="AJ109" s="2"/>
      <c r="AK109" s="2"/>
      <c r="AL109" s="2"/>
      <c r="AM109" s="13"/>
      <c r="AN109" s="39">
        <f t="shared" si="6"/>
        <v>0.91</v>
      </c>
      <c r="AO109" s="39">
        <f t="shared" si="7"/>
        <v>0.89</v>
      </c>
      <c r="AP109" s="39">
        <f t="shared" si="8"/>
        <v>0.85666666666666658</v>
      </c>
      <c r="AQ109" s="39">
        <f t="shared" si="9"/>
        <v>0.64666666666666661</v>
      </c>
      <c r="AR109" s="39">
        <f t="shared" si="10"/>
        <v>3.0533333333333332</v>
      </c>
      <c r="AS109" s="39">
        <f t="shared" si="11"/>
        <v>2.6633333333333336</v>
      </c>
      <c r="AT109" s="39">
        <f t="shared" si="12"/>
        <v>1.5033333333333332</v>
      </c>
      <c r="AU109" s="39">
        <f t="shared" si="13"/>
        <v>5.7166666666666668</v>
      </c>
      <c r="AV109" s="39" t="e">
        <f t="shared" si="14"/>
        <v>#DIV/0!</v>
      </c>
      <c r="AW109" s="39" t="e">
        <f t="shared" si="15"/>
        <v>#DIV/0!</v>
      </c>
    </row>
    <row r="110" spans="1:49" s="39" customFormat="1" x14ac:dyDescent="0.3">
      <c r="A110" s="31" t="s">
        <v>176</v>
      </c>
      <c r="B110" s="32" t="s">
        <v>253</v>
      </c>
      <c r="C110" s="32"/>
      <c r="D110" s="32" t="s">
        <v>179</v>
      </c>
      <c r="E110" s="32"/>
      <c r="F110" s="32" t="s">
        <v>259</v>
      </c>
      <c r="G110" s="37" t="s">
        <v>179</v>
      </c>
      <c r="H110" s="32" t="s">
        <v>266</v>
      </c>
      <c r="I110" s="32"/>
      <c r="J110" s="32"/>
      <c r="K110" s="32"/>
      <c r="L110" s="32"/>
      <c r="M110" s="32"/>
      <c r="N110" s="32"/>
      <c r="O110" s="32" t="s">
        <v>251</v>
      </c>
      <c r="P110" s="33">
        <v>0.89</v>
      </c>
      <c r="Q110" s="32">
        <v>0.88</v>
      </c>
      <c r="R110" s="32">
        <v>0.9</v>
      </c>
      <c r="S110" s="32">
        <v>0.89</v>
      </c>
      <c r="T110" s="32">
        <v>0.9</v>
      </c>
      <c r="U110" s="32">
        <v>0.88</v>
      </c>
      <c r="V110" s="32">
        <v>0.77</v>
      </c>
      <c r="W110" s="32">
        <v>0.52</v>
      </c>
      <c r="X110" s="32">
        <v>3.6</v>
      </c>
      <c r="Y110" s="32">
        <v>4.76</v>
      </c>
      <c r="Z110" s="32">
        <v>0.8</v>
      </c>
      <c r="AA110" s="32">
        <v>0.56000000000000005</v>
      </c>
      <c r="AB110" s="32">
        <v>3.02</v>
      </c>
      <c r="AC110" s="32">
        <v>3.96</v>
      </c>
      <c r="AD110" s="32">
        <v>0.78</v>
      </c>
      <c r="AE110" s="32">
        <v>0.53</v>
      </c>
      <c r="AF110" s="32">
        <v>3.13</v>
      </c>
      <c r="AG110" s="34">
        <v>4.17</v>
      </c>
      <c r="AH110" s="33"/>
      <c r="AI110" s="32"/>
      <c r="AJ110" s="32"/>
      <c r="AK110" s="32"/>
      <c r="AL110" s="32"/>
      <c r="AM110" s="34"/>
      <c r="AN110" s="39">
        <f t="shared" si="6"/>
        <v>0.89666666666666661</v>
      </c>
      <c r="AO110" s="39">
        <f t="shared" si="7"/>
        <v>0.8833333333333333</v>
      </c>
      <c r="AP110" s="39">
        <f t="shared" si="8"/>
        <v>0.78333333333333333</v>
      </c>
      <c r="AQ110" s="39">
        <f t="shared" si="9"/>
        <v>0.53666666666666674</v>
      </c>
      <c r="AR110" s="39">
        <f t="shared" si="10"/>
        <v>3.25</v>
      </c>
      <c r="AS110" s="39">
        <f t="shared" si="11"/>
        <v>4.296666666666666</v>
      </c>
      <c r="AT110" s="39">
        <f t="shared" si="12"/>
        <v>1.32</v>
      </c>
      <c r="AU110" s="39">
        <f t="shared" si="13"/>
        <v>7.546666666666666</v>
      </c>
      <c r="AV110" s="39" t="e">
        <f t="shared" si="14"/>
        <v>#DIV/0!</v>
      </c>
      <c r="AW110" s="39" t="e">
        <f t="shared" si="15"/>
        <v>#DIV/0!</v>
      </c>
    </row>
    <row r="111" spans="1:49" s="39" customFormat="1" x14ac:dyDescent="0.3">
      <c r="A111" s="31" t="s">
        <v>176</v>
      </c>
      <c r="B111" s="32" t="s">
        <v>252</v>
      </c>
      <c r="C111" s="32"/>
      <c r="D111" s="32" t="s">
        <v>179</v>
      </c>
      <c r="E111" s="32"/>
      <c r="F111" s="32" t="s">
        <v>178</v>
      </c>
      <c r="G111" s="37" t="s">
        <v>179</v>
      </c>
      <c r="H111" s="32" t="s">
        <v>265</v>
      </c>
      <c r="I111" s="32"/>
      <c r="J111" s="32"/>
      <c r="K111" s="32"/>
      <c r="L111" s="32"/>
      <c r="M111" s="32"/>
      <c r="N111" s="32"/>
      <c r="O111" s="32" t="s">
        <v>251</v>
      </c>
      <c r="P111" s="33">
        <v>0.87</v>
      </c>
      <c r="Q111" s="32">
        <v>0.87</v>
      </c>
      <c r="R111" s="32">
        <v>0.86</v>
      </c>
      <c r="S111" s="32">
        <v>0.88</v>
      </c>
      <c r="T111" s="32">
        <v>0.89</v>
      </c>
      <c r="U111" s="32">
        <v>0.88</v>
      </c>
      <c r="V111" s="32">
        <v>0.8</v>
      </c>
      <c r="W111" s="32">
        <v>0.48</v>
      </c>
      <c r="X111" s="32">
        <v>4.12</v>
      </c>
      <c r="Y111" s="32">
        <v>7.32</v>
      </c>
      <c r="Z111" s="32">
        <v>0.8</v>
      </c>
      <c r="AA111" s="32">
        <v>0.54</v>
      </c>
      <c r="AB111" s="32">
        <v>4.38</v>
      </c>
      <c r="AC111" s="32">
        <v>5.52</v>
      </c>
      <c r="AD111" s="32">
        <v>0.8</v>
      </c>
      <c r="AE111" s="32">
        <v>0.49</v>
      </c>
      <c r="AF111" s="32">
        <v>4.2</v>
      </c>
      <c r="AG111" s="34">
        <v>6.21</v>
      </c>
      <c r="AH111" s="33"/>
      <c r="AI111" s="32"/>
      <c r="AJ111" s="32"/>
      <c r="AK111" s="32"/>
      <c r="AL111" s="32"/>
      <c r="AM111" s="34"/>
      <c r="AN111" s="39">
        <f t="shared" si="6"/>
        <v>0.87333333333333341</v>
      </c>
      <c r="AO111" s="39">
        <f t="shared" si="7"/>
        <v>0.87666666666666659</v>
      </c>
      <c r="AP111" s="39">
        <f t="shared" si="8"/>
        <v>0.80000000000000016</v>
      </c>
      <c r="AQ111" s="39">
        <f t="shared" si="9"/>
        <v>0.5033333333333333</v>
      </c>
      <c r="AR111" s="39">
        <f t="shared" si="10"/>
        <v>4.2333333333333334</v>
      </c>
      <c r="AS111" s="39">
        <f t="shared" si="11"/>
        <v>6.3500000000000005</v>
      </c>
      <c r="AT111" s="39">
        <f t="shared" si="12"/>
        <v>1.3033333333333335</v>
      </c>
      <c r="AU111" s="39">
        <f t="shared" si="13"/>
        <v>10.583333333333334</v>
      </c>
      <c r="AV111" s="39" t="e">
        <f t="shared" si="14"/>
        <v>#DIV/0!</v>
      </c>
      <c r="AW111" s="39" t="e">
        <f t="shared" si="15"/>
        <v>#DIV/0!</v>
      </c>
    </row>
    <row r="112" spans="1:49" s="39" customFormat="1" x14ac:dyDescent="0.3">
      <c r="A112" s="4" t="s">
        <v>176</v>
      </c>
      <c r="B112" s="2" t="s">
        <v>177</v>
      </c>
      <c r="C112" s="2" t="s">
        <v>179</v>
      </c>
      <c r="D112" s="1" t="s">
        <v>96</v>
      </c>
      <c r="E112" s="2" t="s">
        <v>186</v>
      </c>
      <c r="F112" s="2" t="s">
        <v>184</v>
      </c>
      <c r="G112" s="2" t="s">
        <v>181</v>
      </c>
      <c r="H112" s="2"/>
      <c r="I112" s="2"/>
      <c r="J112" s="2"/>
      <c r="K112" s="2"/>
      <c r="L112" s="2"/>
      <c r="M112" s="2"/>
      <c r="N112" s="2"/>
      <c r="O112" s="2"/>
      <c r="P112" s="17">
        <v>0.92</v>
      </c>
      <c r="Q112" s="2">
        <v>0.9</v>
      </c>
      <c r="R112" s="2">
        <v>0.92</v>
      </c>
      <c r="S112" s="2">
        <v>0.89</v>
      </c>
      <c r="T112" s="2">
        <v>0.92</v>
      </c>
      <c r="U112" s="2">
        <v>0.89</v>
      </c>
      <c r="V112" s="2">
        <v>0.91</v>
      </c>
      <c r="W112" s="2">
        <v>0.71</v>
      </c>
      <c r="X112" s="2">
        <v>1.64</v>
      </c>
      <c r="Y112" s="2">
        <v>1.79</v>
      </c>
      <c r="Z112" s="2">
        <v>0.91</v>
      </c>
      <c r="AA112" s="2">
        <v>0.7</v>
      </c>
      <c r="AB112" s="2">
        <v>1.76</v>
      </c>
      <c r="AC112" s="2">
        <v>1.87</v>
      </c>
      <c r="AD112" s="2">
        <v>0.91</v>
      </c>
      <c r="AE112" s="2">
        <v>0.7</v>
      </c>
      <c r="AF112" s="2">
        <v>1.83</v>
      </c>
      <c r="AG112" s="13">
        <v>1.88</v>
      </c>
      <c r="AH112" s="17"/>
      <c r="AI112" s="2"/>
      <c r="AJ112" s="2"/>
      <c r="AK112" s="2"/>
      <c r="AL112" s="2"/>
      <c r="AM112" s="13"/>
      <c r="AN112" s="39">
        <f t="shared" si="6"/>
        <v>0.92</v>
      </c>
      <c r="AO112" s="39">
        <f t="shared" si="7"/>
        <v>0.89333333333333342</v>
      </c>
      <c r="AP112" s="39">
        <f t="shared" si="8"/>
        <v>0.91</v>
      </c>
      <c r="AQ112" s="39">
        <f t="shared" si="9"/>
        <v>0.70333333333333325</v>
      </c>
      <c r="AR112" s="39">
        <f t="shared" si="10"/>
        <v>1.7433333333333334</v>
      </c>
      <c r="AS112" s="39">
        <f t="shared" si="11"/>
        <v>1.8466666666666667</v>
      </c>
      <c r="AT112" s="39">
        <f t="shared" si="12"/>
        <v>1.6133333333333333</v>
      </c>
      <c r="AU112" s="39">
        <f t="shared" si="13"/>
        <v>3.59</v>
      </c>
      <c r="AV112" s="39" t="e">
        <f t="shared" si="14"/>
        <v>#DIV/0!</v>
      </c>
      <c r="AW112" s="39" t="e">
        <f t="shared" si="15"/>
        <v>#DIV/0!</v>
      </c>
    </row>
    <row r="113" spans="1:49" s="39" customFormat="1" x14ac:dyDescent="0.3">
      <c r="A113" s="4" t="s">
        <v>176</v>
      </c>
      <c r="B113" s="2" t="s">
        <v>177</v>
      </c>
      <c r="C113" s="2" t="s">
        <v>179</v>
      </c>
      <c r="D113" s="1" t="s">
        <v>97</v>
      </c>
      <c r="E113" s="2" t="s">
        <v>186</v>
      </c>
      <c r="F113" s="2" t="s">
        <v>184</v>
      </c>
      <c r="G113" s="2" t="s">
        <v>181</v>
      </c>
      <c r="H113" s="2"/>
      <c r="I113" s="2"/>
      <c r="J113" s="2"/>
      <c r="K113" s="2"/>
      <c r="L113" s="2"/>
      <c r="M113" s="2"/>
      <c r="N113" s="2"/>
      <c r="O113" s="2"/>
      <c r="P113" s="17">
        <v>0.91</v>
      </c>
      <c r="Q113" s="2">
        <v>0.89</v>
      </c>
      <c r="R113" s="2">
        <v>0.91</v>
      </c>
      <c r="S113" s="2">
        <v>0.89</v>
      </c>
      <c r="T113" s="2">
        <v>0.91</v>
      </c>
      <c r="U113" s="2">
        <v>0.89</v>
      </c>
      <c r="V113" s="2">
        <v>0.89</v>
      </c>
      <c r="W113" s="2">
        <v>0.67</v>
      </c>
      <c r="X113" s="2">
        <v>2.2599999999999998</v>
      </c>
      <c r="Y113" s="2">
        <v>2.31</v>
      </c>
      <c r="Z113" s="2">
        <v>0.9</v>
      </c>
      <c r="AA113" s="2">
        <v>0.69</v>
      </c>
      <c r="AB113" s="2">
        <v>2.06</v>
      </c>
      <c r="AC113" s="2">
        <v>2.2000000000000002</v>
      </c>
      <c r="AD113" s="2">
        <v>0.9</v>
      </c>
      <c r="AE113" s="2">
        <v>0.68</v>
      </c>
      <c r="AF113" s="2">
        <v>2.14</v>
      </c>
      <c r="AG113" s="13">
        <v>2.3199999999999998</v>
      </c>
      <c r="AH113" s="17"/>
      <c r="AI113" s="2"/>
      <c r="AJ113" s="2"/>
      <c r="AK113" s="2"/>
      <c r="AL113" s="2"/>
      <c r="AM113" s="13"/>
      <c r="AN113" s="39">
        <f t="shared" si="6"/>
        <v>0.91</v>
      </c>
      <c r="AO113" s="39">
        <f t="shared" si="7"/>
        <v>0.89</v>
      </c>
      <c r="AP113" s="39">
        <f t="shared" si="8"/>
        <v>0.89666666666666661</v>
      </c>
      <c r="AQ113" s="39">
        <f t="shared" si="9"/>
        <v>0.68</v>
      </c>
      <c r="AR113" s="39">
        <f t="shared" si="10"/>
        <v>2.1533333333333338</v>
      </c>
      <c r="AS113" s="39">
        <f t="shared" si="11"/>
        <v>2.2766666666666668</v>
      </c>
      <c r="AT113" s="39">
        <f t="shared" si="12"/>
        <v>1.5766666666666667</v>
      </c>
      <c r="AU113" s="39">
        <f t="shared" si="13"/>
        <v>4.4300000000000006</v>
      </c>
      <c r="AV113" s="39" t="e">
        <f t="shared" si="14"/>
        <v>#DIV/0!</v>
      </c>
      <c r="AW113" s="39" t="e">
        <f t="shared" si="15"/>
        <v>#DIV/0!</v>
      </c>
    </row>
    <row r="114" spans="1:49" s="39" customFormat="1" x14ac:dyDescent="0.3">
      <c r="A114" s="4" t="s">
        <v>176</v>
      </c>
      <c r="B114" s="2" t="s">
        <v>177</v>
      </c>
      <c r="C114" s="2" t="s">
        <v>179</v>
      </c>
      <c r="D114" s="1" t="s">
        <v>98</v>
      </c>
      <c r="E114" s="2" t="s">
        <v>186</v>
      </c>
      <c r="F114" s="2" t="s">
        <v>184</v>
      </c>
      <c r="G114" s="2" t="s">
        <v>183</v>
      </c>
      <c r="H114" s="2"/>
      <c r="I114" s="2"/>
      <c r="J114" s="2"/>
      <c r="K114" s="2"/>
      <c r="L114" s="2"/>
      <c r="M114" s="2"/>
      <c r="N114" s="2"/>
      <c r="O114" s="2"/>
      <c r="P114" s="17">
        <v>0.87</v>
      </c>
      <c r="Q114" s="2">
        <v>0.87</v>
      </c>
      <c r="R114" s="2">
        <v>0.87</v>
      </c>
      <c r="S114" s="2">
        <v>0.88</v>
      </c>
      <c r="T114" s="2">
        <v>0.87</v>
      </c>
      <c r="U114" s="2">
        <v>0.87</v>
      </c>
      <c r="V114" s="2">
        <v>0.59</v>
      </c>
      <c r="W114" s="2">
        <v>0.33</v>
      </c>
      <c r="X114" s="2">
        <v>8.19</v>
      </c>
      <c r="Y114" s="2">
        <v>10.17</v>
      </c>
      <c r="Z114" s="2">
        <v>0.61</v>
      </c>
      <c r="AA114" s="2">
        <v>0.37</v>
      </c>
      <c r="AB114" s="2">
        <v>7.74</v>
      </c>
      <c r="AC114" s="2">
        <v>10.56</v>
      </c>
      <c r="AD114" s="2">
        <v>0.66</v>
      </c>
      <c r="AE114" s="2">
        <v>0.38</v>
      </c>
      <c r="AF114" s="2">
        <v>6.68</v>
      </c>
      <c r="AG114" s="13">
        <v>10.119999999999999</v>
      </c>
      <c r="AH114" s="17"/>
      <c r="AI114" s="2"/>
      <c r="AJ114" s="2"/>
      <c r="AK114" s="2"/>
      <c r="AL114" s="2"/>
      <c r="AM114" s="13"/>
      <c r="AN114" s="39">
        <f t="shared" si="6"/>
        <v>0.87</v>
      </c>
      <c r="AO114" s="39">
        <f t="shared" si="7"/>
        <v>0.87333333333333341</v>
      </c>
      <c r="AP114" s="39">
        <f t="shared" si="8"/>
        <v>0.62</v>
      </c>
      <c r="AQ114" s="39">
        <f t="shared" si="9"/>
        <v>0.36000000000000004</v>
      </c>
      <c r="AR114" s="39">
        <f t="shared" si="10"/>
        <v>7.5366666666666662</v>
      </c>
      <c r="AS114" s="39">
        <f t="shared" si="11"/>
        <v>10.283333333333333</v>
      </c>
      <c r="AT114" s="39">
        <f t="shared" si="12"/>
        <v>0.98</v>
      </c>
      <c r="AU114" s="39">
        <f t="shared" si="13"/>
        <v>17.82</v>
      </c>
      <c r="AV114" s="39" t="e">
        <f t="shared" si="14"/>
        <v>#DIV/0!</v>
      </c>
      <c r="AW114" s="39" t="e">
        <f t="shared" si="15"/>
        <v>#DIV/0!</v>
      </c>
    </row>
    <row r="115" spans="1:49" s="39" customFormat="1" x14ac:dyDescent="0.3">
      <c r="A115" s="4" t="s">
        <v>176</v>
      </c>
      <c r="B115" s="2" t="s">
        <v>177</v>
      </c>
      <c r="C115" s="2" t="s">
        <v>179</v>
      </c>
      <c r="D115" s="1" t="s">
        <v>99</v>
      </c>
      <c r="E115" s="2" t="s">
        <v>186</v>
      </c>
      <c r="F115" s="2" t="s">
        <v>184</v>
      </c>
      <c r="G115" s="2" t="s">
        <v>183</v>
      </c>
      <c r="H115" s="2"/>
      <c r="I115" s="2"/>
      <c r="J115" s="2"/>
      <c r="K115" s="2"/>
      <c r="L115" s="2"/>
      <c r="M115" s="2"/>
      <c r="N115" s="2"/>
      <c r="O115" s="2"/>
      <c r="P115" s="17">
        <v>0.91</v>
      </c>
      <c r="Q115" s="2">
        <v>0.89</v>
      </c>
      <c r="R115" s="2">
        <v>0.91</v>
      </c>
      <c r="S115" s="2">
        <v>0.89</v>
      </c>
      <c r="T115" s="2">
        <v>0.9</v>
      </c>
      <c r="U115" s="2">
        <v>0.88</v>
      </c>
      <c r="V115" s="2">
        <v>0.88</v>
      </c>
      <c r="W115" s="2">
        <v>0.63</v>
      </c>
      <c r="X115" s="2">
        <v>2.33</v>
      </c>
      <c r="Y115" s="2">
        <v>2.96</v>
      </c>
      <c r="Z115" s="2">
        <v>0.86</v>
      </c>
      <c r="AA115" s="2">
        <v>0.63</v>
      </c>
      <c r="AB115" s="2">
        <v>2.57</v>
      </c>
      <c r="AC115" s="2">
        <v>3.03</v>
      </c>
      <c r="AD115" s="2">
        <v>0.85</v>
      </c>
      <c r="AE115" s="2">
        <v>0.61</v>
      </c>
      <c r="AF115" s="2">
        <v>2.68</v>
      </c>
      <c r="AG115" s="13">
        <v>3.19</v>
      </c>
      <c r="AH115" s="17"/>
      <c r="AI115" s="2"/>
      <c r="AJ115" s="2"/>
      <c r="AK115" s="2"/>
      <c r="AL115" s="2"/>
      <c r="AM115" s="13"/>
      <c r="AN115" s="39">
        <f t="shared" si="6"/>
        <v>0.90666666666666673</v>
      </c>
      <c r="AO115" s="39">
        <f t="shared" si="7"/>
        <v>0.88666666666666671</v>
      </c>
      <c r="AP115" s="39">
        <f t="shared" si="8"/>
        <v>0.86333333333333329</v>
      </c>
      <c r="AQ115" s="39">
        <f t="shared" si="9"/>
        <v>0.62333333333333341</v>
      </c>
      <c r="AR115" s="39">
        <f t="shared" si="10"/>
        <v>2.5266666666666668</v>
      </c>
      <c r="AS115" s="39">
        <f t="shared" si="11"/>
        <v>3.06</v>
      </c>
      <c r="AT115" s="39">
        <f t="shared" si="12"/>
        <v>1.4866666666666668</v>
      </c>
      <c r="AU115" s="39">
        <f t="shared" si="13"/>
        <v>5.5866666666666669</v>
      </c>
      <c r="AV115" s="39" t="e">
        <f t="shared" si="14"/>
        <v>#DIV/0!</v>
      </c>
      <c r="AW115" s="39" t="e">
        <f t="shared" si="15"/>
        <v>#DIV/0!</v>
      </c>
    </row>
    <row r="116" spans="1:49" s="39" customFormat="1" x14ac:dyDescent="0.3">
      <c r="A116" s="4" t="s">
        <v>176</v>
      </c>
      <c r="B116" s="2" t="s">
        <v>177</v>
      </c>
      <c r="C116" s="2" t="s">
        <v>179</v>
      </c>
      <c r="D116" s="2" t="s">
        <v>2</v>
      </c>
      <c r="E116" s="2" t="s">
        <v>186</v>
      </c>
      <c r="F116" s="2" t="s">
        <v>175</v>
      </c>
      <c r="G116" s="2" t="s">
        <v>181</v>
      </c>
      <c r="H116" s="2"/>
      <c r="I116" s="2"/>
      <c r="J116" s="2"/>
      <c r="K116" s="2"/>
      <c r="L116" s="2"/>
      <c r="M116" s="2"/>
      <c r="N116" s="2"/>
      <c r="O116" s="2"/>
      <c r="P116" s="17">
        <v>0.91</v>
      </c>
      <c r="Q116" s="2">
        <v>0.89</v>
      </c>
      <c r="R116" s="2">
        <v>0.91</v>
      </c>
      <c r="S116" s="2">
        <v>0.89</v>
      </c>
      <c r="T116" s="2">
        <v>0.63</v>
      </c>
      <c r="U116" s="2">
        <v>0.82</v>
      </c>
      <c r="V116" s="2">
        <v>0.9</v>
      </c>
      <c r="W116" s="2">
        <v>0.67</v>
      </c>
      <c r="X116" s="2">
        <v>2.09</v>
      </c>
      <c r="Y116" s="2">
        <v>2.5</v>
      </c>
      <c r="Z116" s="2">
        <v>0.88</v>
      </c>
      <c r="AA116" s="2">
        <v>0.65</v>
      </c>
      <c r="AB116" s="2">
        <v>2.2999999999999998</v>
      </c>
      <c r="AC116" s="2">
        <v>2.4500000000000002</v>
      </c>
      <c r="AD116" s="2">
        <v>0.82</v>
      </c>
      <c r="AE116" s="2">
        <v>0.3</v>
      </c>
      <c r="AF116" s="2">
        <v>3.38</v>
      </c>
      <c r="AG116" s="13">
        <v>12.52</v>
      </c>
      <c r="AH116" s="17"/>
      <c r="AI116" s="2"/>
      <c r="AJ116" s="2"/>
      <c r="AK116" s="2"/>
      <c r="AL116" s="2"/>
      <c r="AM116" s="13"/>
      <c r="AN116" s="39">
        <f t="shared" si="6"/>
        <v>0.81666666666666676</v>
      </c>
      <c r="AO116" s="39">
        <f t="shared" si="7"/>
        <v>0.8666666666666667</v>
      </c>
      <c r="AP116" s="39">
        <f t="shared" si="8"/>
        <v>0.8666666666666667</v>
      </c>
      <c r="AQ116" s="39">
        <f t="shared" si="9"/>
        <v>0.54</v>
      </c>
      <c r="AR116" s="39">
        <f t="shared" si="10"/>
        <v>2.59</v>
      </c>
      <c r="AS116" s="39">
        <f t="shared" si="11"/>
        <v>5.8233333333333333</v>
      </c>
      <c r="AT116" s="39">
        <f t="shared" si="12"/>
        <v>1.4066666666666667</v>
      </c>
      <c r="AU116" s="39">
        <f t="shared" si="13"/>
        <v>8.413333333333334</v>
      </c>
      <c r="AV116" s="39" t="e">
        <f t="shared" si="14"/>
        <v>#DIV/0!</v>
      </c>
      <c r="AW116" s="39" t="e">
        <f t="shared" si="15"/>
        <v>#DIV/0!</v>
      </c>
    </row>
    <row r="117" spans="1:49" s="39" customFormat="1" x14ac:dyDescent="0.3">
      <c r="A117" s="4" t="s">
        <v>176</v>
      </c>
      <c r="B117" s="2" t="s">
        <v>177</v>
      </c>
      <c r="C117" s="2" t="s">
        <v>179</v>
      </c>
      <c r="D117" s="2" t="s">
        <v>3</v>
      </c>
      <c r="E117" s="2" t="s">
        <v>186</v>
      </c>
      <c r="F117" s="2" t="s">
        <v>175</v>
      </c>
      <c r="G117" s="2" t="s">
        <v>183</v>
      </c>
      <c r="H117" s="2"/>
      <c r="I117" s="2"/>
      <c r="J117" s="2"/>
      <c r="K117" s="2"/>
      <c r="L117" s="2"/>
      <c r="M117" s="2"/>
      <c r="N117" s="2"/>
      <c r="O117" s="2"/>
      <c r="P117" s="17">
        <v>0.88</v>
      </c>
      <c r="Q117" s="2">
        <v>0.88</v>
      </c>
      <c r="R117" s="2">
        <v>0.86</v>
      </c>
      <c r="S117" s="2">
        <v>0.86</v>
      </c>
      <c r="T117" s="2">
        <v>0.88</v>
      </c>
      <c r="U117" s="2">
        <v>0.87</v>
      </c>
      <c r="V117" s="2">
        <v>0.68</v>
      </c>
      <c r="W117" s="2">
        <v>0.41</v>
      </c>
      <c r="X117" s="2">
        <v>4.41</v>
      </c>
      <c r="Y117" s="2">
        <v>7.71</v>
      </c>
      <c r="Z117" s="2">
        <v>0.75</v>
      </c>
      <c r="AA117" s="2">
        <v>0.43</v>
      </c>
      <c r="AB117" s="2">
        <v>3.52</v>
      </c>
      <c r="AC117" s="2">
        <v>8.17</v>
      </c>
      <c r="AD117" s="2">
        <v>0.72</v>
      </c>
      <c r="AE117" s="2">
        <v>0.44</v>
      </c>
      <c r="AF117" s="2">
        <v>4.3600000000000003</v>
      </c>
      <c r="AG117" s="13">
        <v>8.2200000000000006</v>
      </c>
      <c r="AH117" s="40"/>
      <c r="AM117" s="41"/>
      <c r="AN117" s="39">
        <f t="shared" si="6"/>
        <v>0.87333333333333341</v>
      </c>
      <c r="AO117" s="39">
        <f t="shared" si="7"/>
        <v>0.87</v>
      </c>
      <c r="AP117" s="39">
        <f t="shared" si="8"/>
        <v>0.71666666666666679</v>
      </c>
      <c r="AQ117" s="39">
        <f t="shared" si="9"/>
        <v>0.42666666666666669</v>
      </c>
      <c r="AR117" s="39">
        <f t="shared" si="10"/>
        <v>4.0966666666666667</v>
      </c>
      <c r="AS117" s="39">
        <f t="shared" si="11"/>
        <v>8.0333333333333332</v>
      </c>
      <c r="AT117" s="39">
        <f t="shared" si="12"/>
        <v>1.1433333333333335</v>
      </c>
      <c r="AU117" s="39">
        <f t="shared" si="13"/>
        <v>12.129999999999999</v>
      </c>
      <c r="AV117" s="39" t="e">
        <f t="shared" si="14"/>
        <v>#DIV/0!</v>
      </c>
      <c r="AW117" s="39" t="e">
        <f t="shared" si="15"/>
        <v>#DIV/0!</v>
      </c>
    </row>
    <row r="118" spans="1:49" s="39" customFormat="1" x14ac:dyDescent="0.3">
      <c r="A118" s="4" t="s">
        <v>176</v>
      </c>
      <c r="B118" s="2" t="s">
        <v>177</v>
      </c>
      <c r="C118" s="2" t="s">
        <v>179</v>
      </c>
      <c r="D118" s="2" t="s">
        <v>4</v>
      </c>
      <c r="E118" s="2" t="s">
        <v>186</v>
      </c>
      <c r="F118" s="2" t="s">
        <v>175</v>
      </c>
      <c r="G118" s="2" t="s">
        <v>183</v>
      </c>
      <c r="H118" s="2"/>
      <c r="I118" s="2"/>
      <c r="J118" s="2"/>
      <c r="K118" s="2"/>
      <c r="L118" s="2"/>
      <c r="M118" s="2"/>
      <c r="N118" s="2"/>
      <c r="O118" s="2"/>
      <c r="P118" s="17">
        <v>0.84</v>
      </c>
      <c r="Q118" s="2">
        <v>0.87</v>
      </c>
      <c r="R118" s="2">
        <v>0.84</v>
      </c>
      <c r="S118" s="2">
        <v>0.87</v>
      </c>
      <c r="T118" s="2">
        <v>0.83</v>
      </c>
      <c r="U118" s="2">
        <v>0.87</v>
      </c>
      <c r="V118" s="2">
        <v>0.49</v>
      </c>
      <c r="W118" s="2">
        <v>0.28999999999999998</v>
      </c>
      <c r="X118" s="2">
        <v>10</v>
      </c>
      <c r="Y118" s="2">
        <v>10.61</v>
      </c>
      <c r="Z118" s="2">
        <v>0.51</v>
      </c>
      <c r="AA118" s="2">
        <v>0.31</v>
      </c>
      <c r="AB118" s="2">
        <v>8.67</v>
      </c>
      <c r="AC118" s="2">
        <v>9.3000000000000007</v>
      </c>
      <c r="AD118" s="2">
        <v>0.45</v>
      </c>
      <c r="AE118" s="2">
        <v>0.24</v>
      </c>
      <c r="AF118" s="2">
        <v>10.26</v>
      </c>
      <c r="AG118" s="13">
        <v>11.21</v>
      </c>
      <c r="AH118" s="40"/>
      <c r="AM118" s="41"/>
      <c r="AN118" s="39">
        <f t="shared" si="6"/>
        <v>0.83666666666666656</v>
      </c>
      <c r="AO118" s="39">
        <f t="shared" si="7"/>
        <v>0.87</v>
      </c>
      <c r="AP118" s="39">
        <f t="shared" si="8"/>
        <v>0.48333333333333334</v>
      </c>
      <c r="AQ118" s="39">
        <f t="shared" si="9"/>
        <v>0.27999999999999997</v>
      </c>
      <c r="AR118" s="39">
        <f t="shared" si="10"/>
        <v>9.6433333333333326</v>
      </c>
      <c r="AS118" s="39">
        <f t="shared" si="11"/>
        <v>10.373333333333333</v>
      </c>
      <c r="AT118" s="39">
        <f t="shared" si="12"/>
        <v>0.76333333333333331</v>
      </c>
      <c r="AU118" s="39">
        <f t="shared" si="13"/>
        <v>20.016666666666666</v>
      </c>
      <c r="AV118" s="39" t="e">
        <f t="shared" si="14"/>
        <v>#DIV/0!</v>
      </c>
      <c r="AW118" s="39" t="e">
        <f t="shared" si="15"/>
        <v>#DIV/0!</v>
      </c>
    </row>
    <row r="119" spans="1:49" s="39" customFormat="1" x14ac:dyDescent="0.3">
      <c r="A119" s="4" t="s">
        <v>176</v>
      </c>
      <c r="B119" s="2" t="s">
        <v>177</v>
      </c>
      <c r="C119" s="2" t="s">
        <v>179</v>
      </c>
      <c r="D119" s="2" t="s">
        <v>5</v>
      </c>
      <c r="E119" s="2" t="s">
        <v>186</v>
      </c>
      <c r="F119" s="2" t="s">
        <v>121</v>
      </c>
      <c r="G119" s="2" t="s">
        <v>183</v>
      </c>
      <c r="H119" s="2"/>
      <c r="I119" s="2"/>
      <c r="J119" s="2"/>
      <c r="K119" s="2"/>
      <c r="L119" s="2"/>
      <c r="M119" s="2"/>
      <c r="N119" s="2"/>
      <c r="O119" s="2"/>
      <c r="P119" s="17">
        <v>0.87</v>
      </c>
      <c r="Q119" s="2">
        <v>0.87</v>
      </c>
      <c r="R119" s="2">
        <v>0.84</v>
      </c>
      <c r="S119" s="2">
        <v>0.87</v>
      </c>
      <c r="T119" s="2">
        <v>0.8</v>
      </c>
      <c r="U119" s="2">
        <v>0.86</v>
      </c>
      <c r="V119" s="2">
        <v>0.78</v>
      </c>
      <c r="W119" s="2">
        <v>0.47</v>
      </c>
      <c r="X119" s="2">
        <v>4.03</v>
      </c>
      <c r="Y119" s="2">
        <v>8.4700000000000006</v>
      </c>
      <c r="Z119" s="2">
        <v>0.78</v>
      </c>
      <c r="AA119" s="2">
        <v>0.45</v>
      </c>
      <c r="AB119" s="2">
        <v>3.92</v>
      </c>
      <c r="AC119" s="2">
        <v>8.74</v>
      </c>
      <c r="AD119" s="2">
        <v>0.74</v>
      </c>
      <c r="AE119" s="2">
        <v>0.39</v>
      </c>
      <c r="AF119" s="2">
        <v>4.6100000000000003</v>
      </c>
      <c r="AG119" s="13">
        <v>11.59</v>
      </c>
      <c r="AH119" s="40"/>
      <c r="AM119" s="41"/>
      <c r="AN119" s="39">
        <f t="shared" si="6"/>
        <v>0.83666666666666656</v>
      </c>
      <c r="AO119" s="39">
        <f t="shared" si="7"/>
        <v>0.8666666666666667</v>
      </c>
      <c r="AP119" s="39">
        <f t="shared" si="8"/>
        <v>0.76666666666666661</v>
      </c>
      <c r="AQ119" s="39">
        <f t="shared" si="9"/>
        <v>0.4366666666666667</v>
      </c>
      <c r="AR119" s="39">
        <f t="shared" si="10"/>
        <v>4.1866666666666665</v>
      </c>
      <c r="AS119" s="39">
        <f t="shared" si="11"/>
        <v>9.6</v>
      </c>
      <c r="AT119" s="39">
        <f t="shared" si="12"/>
        <v>1.2033333333333334</v>
      </c>
      <c r="AU119" s="39">
        <f t="shared" si="13"/>
        <v>13.786666666666665</v>
      </c>
      <c r="AV119" s="39" t="e">
        <f t="shared" si="14"/>
        <v>#DIV/0!</v>
      </c>
      <c r="AW119" s="39" t="e">
        <f t="shared" si="15"/>
        <v>#DIV/0!</v>
      </c>
    </row>
    <row r="120" spans="1:49" s="39" customFormat="1" x14ac:dyDescent="0.3">
      <c r="A120" s="4" t="s">
        <v>176</v>
      </c>
      <c r="B120" s="2" t="s">
        <v>177</v>
      </c>
      <c r="C120" s="2" t="s">
        <v>179</v>
      </c>
      <c r="D120" s="2" t="s">
        <v>6</v>
      </c>
      <c r="E120" s="2" t="s">
        <v>186</v>
      </c>
      <c r="F120" s="2" t="s">
        <v>187</v>
      </c>
      <c r="G120" s="2" t="s">
        <v>183</v>
      </c>
      <c r="H120" s="2"/>
      <c r="I120" s="2"/>
      <c r="J120" s="2"/>
      <c r="K120" s="2"/>
      <c r="L120" s="2"/>
      <c r="M120" s="2"/>
      <c r="N120" s="2"/>
      <c r="O120" s="2"/>
      <c r="P120" s="17">
        <v>0.87</v>
      </c>
      <c r="Q120" s="2">
        <v>0.87</v>
      </c>
      <c r="R120" s="2">
        <v>0.85</v>
      </c>
      <c r="S120" s="2">
        <v>0.86</v>
      </c>
      <c r="T120" s="2">
        <v>0.83</v>
      </c>
      <c r="U120" s="2">
        <v>0.86</v>
      </c>
      <c r="V120" s="2">
        <v>0.78</v>
      </c>
      <c r="W120" s="2">
        <v>0.49</v>
      </c>
      <c r="X120" s="2">
        <v>4.0199999999999996</v>
      </c>
      <c r="Y120" s="2">
        <v>7.34</v>
      </c>
      <c r="Z120" s="2">
        <v>0.75</v>
      </c>
      <c r="AA120" s="2">
        <v>0.41</v>
      </c>
      <c r="AB120" s="2">
        <v>4.3099999999999996</v>
      </c>
      <c r="AC120" s="2">
        <v>9.42</v>
      </c>
      <c r="AD120" s="2">
        <v>0.76</v>
      </c>
      <c r="AE120" s="2">
        <v>0.44</v>
      </c>
      <c r="AF120" s="2">
        <v>4.2699999999999996</v>
      </c>
      <c r="AG120" s="13">
        <v>8.4600000000000009</v>
      </c>
      <c r="AH120" s="40"/>
      <c r="AM120" s="41"/>
      <c r="AN120" s="39">
        <f t="shared" si="6"/>
        <v>0.85</v>
      </c>
      <c r="AO120" s="39">
        <f t="shared" si="7"/>
        <v>0.86333333333333329</v>
      </c>
      <c r="AP120" s="39">
        <f t="shared" si="8"/>
        <v>0.76333333333333331</v>
      </c>
      <c r="AQ120" s="39">
        <f t="shared" si="9"/>
        <v>0.4466666666666666</v>
      </c>
      <c r="AR120" s="39">
        <f t="shared" si="10"/>
        <v>4.1999999999999993</v>
      </c>
      <c r="AS120" s="39">
        <f t="shared" si="11"/>
        <v>8.4066666666666663</v>
      </c>
      <c r="AT120" s="39">
        <f t="shared" si="12"/>
        <v>1.21</v>
      </c>
      <c r="AU120" s="39">
        <f t="shared" si="13"/>
        <v>12.606666666666666</v>
      </c>
      <c r="AV120" s="39" t="e">
        <f t="shared" si="14"/>
        <v>#DIV/0!</v>
      </c>
      <c r="AW120" s="39" t="e">
        <f t="shared" si="15"/>
        <v>#DIV/0!</v>
      </c>
    </row>
    <row r="121" spans="1:49" s="39" customFormat="1" x14ac:dyDescent="0.3">
      <c r="A121" s="4" t="s">
        <v>176</v>
      </c>
      <c r="B121" s="2" t="s">
        <v>177</v>
      </c>
      <c r="C121" s="2" t="s">
        <v>179</v>
      </c>
      <c r="D121" s="2" t="s">
        <v>7</v>
      </c>
      <c r="E121" s="2" t="s">
        <v>186</v>
      </c>
      <c r="F121" s="5" t="s">
        <v>175</v>
      </c>
      <c r="G121" s="2" t="s">
        <v>183</v>
      </c>
      <c r="H121" s="2"/>
      <c r="I121" s="2"/>
      <c r="J121" s="2"/>
      <c r="K121" s="2"/>
      <c r="L121" s="2"/>
      <c r="M121" s="2"/>
      <c r="N121" s="2"/>
      <c r="O121" s="2"/>
      <c r="P121" s="17">
        <v>0.9</v>
      </c>
      <c r="Q121" s="39">
        <v>0.89</v>
      </c>
      <c r="R121" s="39">
        <v>0.9</v>
      </c>
      <c r="S121" s="39">
        <v>0.88</v>
      </c>
      <c r="T121" s="39">
        <v>0.9</v>
      </c>
      <c r="U121" s="39">
        <v>0.88</v>
      </c>
      <c r="V121" s="39">
        <v>0.83</v>
      </c>
      <c r="W121" s="39">
        <v>0.6</v>
      </c>
      <c r="X121" s="39">
        <v>3.57</v>
      </c>
      <c r="Y121" s="39">
        <v>3.93</v>
      </c>
      <c r="Z121" s="39">
        <v>0.84</v>
      </c>
      <c r="AA121" s="2">
        <v>0.61</v>
      </c>
      <c r="AB121" s="2">
        <v>3.43</v>
      </c>
      <c r="AC121" s="2">
        <v>3.92</v>
      </c>
      <c r="AD121" s="2">
        <v>0.85</v>
      </c>
      <c r="AE121" s="2">
        <v>0.61</v>
      </c>
      <c r="AF121" s="2">
        <v>3.15</v>
      </c>
      <c r="AG121" s="13">
        <v>3.52</v>
      </c>
      <c r="AH121" s="40"/>
      <c r="AM121" s="41"/>
      <c r="AN121" s="39">
        <f>AVERAGE(P121,R121,T121)</f>
        <v>0.9</v>
      </c>
      <c r="AO121" s="39">
        <f>AVERAGE(Q121,S121,U121)</f>
        <v>0.8833333333333333</v>
      </c>
      <c r="AP121" s="39">
        <f>AVERAGE(V121,Z121,AD121)</f>
        <v>0.84</v>
      </c>
      <c r="AQ121" s="39">
        <f>AVERAGE(W121,AA121,AE121)</f>
        <v>0.60666666666666658</v>
      </c>
      <c r="AR121" s="39">
        <f>AVERAGE(X121,AB121,AF121)</f>
        <v>3.3833333333333333</v>
      </c>
      <c r="AS121" s="39">
        <f>AVERAGE(Y121,AC121,AG121)</f>
        <v>3.7899999999999996</v>
      </c>
      <c r="AT121" s="39">
        <f t="shared" ref="AT112:AT125" si="16">SUM(AP121:AQ121)</f>
        <v>1.4466666666666665</v>
      </c>
      <c r="AU121" s="39">
        <f t="shared" ref="AU112:AU125" si="17">SUM(AR121:AS121)</f>
        <v>7.1733333333333329</v>
      </c>
      <c r="AV121" s="39" t="e">
        <f>AVERAGE(AH121,AJ121,AL121)</f>
        <v>#DIV/0!</v>
      </c>
      <c r="AW121" s="39" t="e">
        <f>AVERAGE(AI121,AK121,AM121)</f>
        <v>#DIV/0!</v>
      </c>
    </row>
    <row r="122" spans="1:49" s="39" customFormat="1" x14ac:dyDescent="0.3">
      <c r="A122" s="4" t="s">
        <v>176</v>
      </c>
      <c r="B122" s="2" t="s">
        <v>177</v>
      </c>
      <c r="C122" s="2" t="s">
        <v>179</v>
      </c>
      <c r="D122" s="2" t="s">
        <v>8</v>
      </c>
      <c r="E122" s="2" t="s">
        <v>186</v>
      </c>
      <c r="F122" s="2" t="s">
        <v>185</v>
      </c>
      <c r="G122" s="2" t="s">
        <v>183</v>
      </c>
      <c r="H122" s="2"/>
      <c r="I122" s="2"/>
      <c r="J122" s="2"/>
      <c r="K122" s="2"/>
      <c r="L122" s="2"/>
      <c r="M122" s="2"/>
      <c r="N122" s="2"/>
      <c r="O122" s="2"/>
      <c r="P122" s="17">
        <v>0.91</v>
      </c>
      <c r="Q122" s="39">
        <v>0.89</v>
      </c>
      <c r="R122" s="39">
        <v>0.91</v>
      </c>
      <c r="S122" s="39">
        <v>0.89</v>
      </c>
      <c r="T122" s="39">
        <v>0.9</v>
      </c>
      <c r="U122" s="39">
        <v>0.88</v>
      </c>
      <c r="V122" s="39">
        <v>0.86</v>
      </c>
      <c r="W122" s="39">
        <v>0.64</v>
      </c>
      <c r="X122" s="39">
        <v>3.21</v>
      </c>
      <c r="Y122" s="39">
        <v>3.12</v>
      </c>
      <c r="Z122" s="39">
        <v>0.86</v>
      </c>
      <c r="AA122" s="39">
        <v>0.64</v>
      </c>
      <c r="AB122" s="39">
        <v>3.29</v>
      </c>
      <c r="AC122" s="39">
        <v>3.29</v>
      </c>
      <c r="AD122" s="39">
        <v>0.87</v>
      </c>
      <c r="AE122" s="39">
        <v>0.64</v>
      </c>
      <c r="AF122" s="39">
        <v>3.05</v>
      </c>
      <c r="AG122" s="41">
        <v>3.03</v>
      </c>
      <c r="AH122" s="40"/>
      <c r="AM122" s="41"/>
      <c r="AN122" s="39">
        <f>AVERAGE(P122,R122,T122)</f>
        <v>0.90666666666666673</v>
      </c>
      <c r="AO122" s="39">
        <f>AVERAGE(Q122,S122,U122)</f>
        <v>0.88666666666666671</v>
      </c>
      <c r="AP122" s="39">
        <f>AVERAGE(V122,Z122,AD122)</f>
        <v>0.86333333333333329</v>
      </c>
      <c r="AQ122" s="39">
        <f>AVERAGE(W122,AA122,AE122)</f>
        <v>0.64</v>
      </c>
      <c r="AR122" s="39">
        <f>AVERAGE(X122,AB122,AF122)</f>
        <v>3.1833333333333336</v>
      </c>
      <c r="AS122" s="39">
        <f>AVERAGE(Y122,AC122,AG122)</f>
        <v>3.1466666666666665</v>
      </c>
      <c r="AT122" s="39">
        <f t="shared" si="16"/>
        <v>1.5033333333333334</v>
      </c>
      <c r="AU122" s="39">
        <f t="shared" si="17"/>
        <v>6.33</v>
      </c>
      <c r="AV122" s="39" t="e">
        <f>AVERAGE(AH122,AJ122,AL122)</f>
        <v>#DIV/0!</v>
      </c>
      <c r="AW122" s="39" t="e">
        <f>AVERAGE(AI122,AK122,AM122)</f>
        <v>#DIV/0!</v>
      </c>
    </row>
    <row r="123" spans="1:49" s="39" customFormat="1" x14ac:dyDescent="0.3">
      <c r="A123" s="4" t="s">
        <v>176</v>
      </c>
      <c r="B123" s="2" t="s">
        <v>177</v>
      </c>
      <c r="C123" s="2" t="s">
        <v>179</v>
      </c>
      <c r="D123" s="2" t="s">
        <v>9</v>
      </c>
      <c r="E123" s="2" t="s">
        <v>186</v>
      </c>
      <c r="F123" s="5" t="s">
        <v>175</v>
      </c>
      <c r="G123" s="2" t="s">
        <v>183</v>
      </c>
      <c r="H123" s="2"/>
      <c r="I123" s="2"/>
      <c r="J123" s="2"/>
      <c r="K123" s="2"/>
      <c r="L123" s="2"/>
      <c r="M123" s="2"/>
      <c r="N123" s="2"/>
      <c r="O123" s="2"/>
      <c r="P123" s="17">
        <v>0.89</v>
      </c>
      <c r="Q123" s="39">
        <v>0.88</v>
      </c>
      <c r="R123" s="39">
        <v>0.9</v>
      </c>
      <c r="S123" s="39">
        <v>0.89</v>
      </c>
      <c r="T123" s="39">
        <v>0.9</v>
      </c>
      <c r="U123" s="39">
        <v>0.88</v>
      </c>
      <c r="V123" s="39">
        <v>0.77</v>
      </c>
      <c r="W123" s="39">
        <v>0.52</v>
      </c>
      <c r="X123" s="39">
        <v>3.6</v>
      </c>
      <c r="Y123" s="39">
        <v>4.76</v>
      </c>
      <c r="Z123" s="39">
        <v>0.8</v>
      </c>
      <c r="AA123" s="39">
        <v>0.56000000000000005</v>
      </c>
      <c r="AB123" s="39">
        <v>3.02</v>
      </c>
      <c r="AC123" s="39">
        <v>3.96</v>
      </c>
      <c r="AD123" s="39">
        <v>0.78</v>
      </c>
      <c r="AE123" s="39">
        <v>0.53</v>
      </c>
      <c r="AF123" s="39">
        <v>3.13</v>
      </c>
      <c r="AG123" s="41">
        <v>4.17</v>
      </c>
      <c r="AH123" s="40"/>
      <c r="AM123" s="41"/>
      <c r="AN123" s="39">
        <f>AVERAGE(P123,R123,T123)</f>
        <v>0.89666666666666661</v>
      </c>
      <c r="AO123" s="39">
        <f>AVERAGE(Q123,S123,U123)</f>
        <v>0.8833333333333333</v>
      </c>
      <c r="AP123" s="39">
        <f>AVERAGE(V123,Z123,AD123)</f>
        <v>0.78333333333333333</v>
      </c>
      <c r="AQ123" s="39">
        <f>AVERAGE(W123,AA123,AE123)</f>
        <v>0.53666666666666674</v>
      </c>
      <c r="AR123" s="39">
        <f>AVERAGE(X123,AB123,AF123)</f>
        <v>3.25</v>
      </c>
      <c r="AS123" s="39">
        <f>AVERAGE(Y123,AC123,AG123)</f>
        <v>4.296666666666666</v>
      </c>
      <c r="AT123" s="39">
        <f t="shared" si="16"/>
        <v>1.32</v>
      </c>
      <c r="AU123" s="39">
        <f t="shared" si="17"/>
        <v>7.546666666666666</v>
      </c>
      <c r="AV123" s="39" t="e">
        <f>AVERAGE(AH123,AJ123,AL123)</f>
        <v>#DIV/0!</v>
      </c>
      <c r="AW123" s="39" t="e">
        <f>AVERAGE(AI123,AK123,AM123)</f>
        <v>#DIV/0!</v>
      </c>
    </row>
    <row r="124" spans="1:49" s="39" customFormat="1" x14ac:dyDescent="0.3">
      <c r="A124" s="4" t="s">
        <v>176</v>
      </c>
      <c r="B124" s="2" t="s">
        <v>177</v>
      </c>
      <c r="C124" s="2" t="s">
        <v>179</v>
      </c>
      <c r="D124" s="2" t="s">
        <v>10</v>
      </c>
      <c r="E124" s="2" t="s">
        <v>186</v>
      </c>
      <c r="F124" s="5" t="s">
        <v>175</v>
      </c>
      <c r="G124" s="2" t="s">
        <v>183</v>
      </c>
      <c r="H124" s="2"/>
      <c r="I124" s="2"/>
      <c r="J124" s="2"/>
      <c r="K124" s="2"/>
      <c r="L124" s="2"/>
      <c r="M124" s="2"/>
      <c r="N124" s="2"/>
      <c r="O124" s="2"/>
      <c r="P124" s="17">
        <v>0.82</v>
      </c>
      <c r="Q124" s="39">
        <v>0.86</v>
      </c>
      <c r="R124" s="39">
        <v>0.76</v>
      </c>
      <c r="S124" s="39">
        <v>0.84</v>
      </c>
      <c r="T124" s="39">
        <v>0.81</v>
      </c>
      <c r="U124" s="39">
        <v>0.86</v>
      </c>
      <c r="V124" s="39">
        <v>0.41</v>
      </c>
      <c r="W124" s="39">
        <v>0.21</v>
      </c>
      <c r="X124" s="39">
        <v>13.57</v>
      </c>
      <c r="Y124" s="39">
        <v>14.38</v>
      </c>
      <c r="Z124" s="39">
        <v>0.27</v>
      </c>
      <c r="AA124" s="39">
        <v>0.14000000000000001</v>
      </c>
      <c r="AB124" s="39">
        <v>18.899999999999999</v>
      </c>
      <c r="AC124" s="39">
        <v>16.670000000000002</v>
      </c>
      <c r="AD124" s="39">
        <v>0.46</v>
      </c>
      <c r="AE124" s="39">
        <v>0.25</v>
      </c>
      <c r="AF124" s="39">
        <v>12.28</v>
      </c>
      <c r="AG124" s="41">
        <v>13.69</v>
      </c>
      <c r="AH124" s="40"/>
      <c r="AM124" s="41"/>
      <c r="AN124" s="39">
        <f>AVERAGE(P124,R124,T124)</f>
        <v>0.79666666666666675</v>
      </c>
      <c r="AO124" s="39">
        <f>AVERAGE(Q124,S124,U124)</f>
        <v>0.85333333333333339</v>
      </c>
      <c r="AP124" s="39">
        <f>AVERAGE(V124,Z124,AD124)</f>
        <v>0.37999999999999995</v>
      </c>
      <c r="AQ124" s="39">
        <f>AVERAGE(W124,AA124,AE124)</f>
        <v>0.19999999999999998</v>
      </c>
      <c r="AR124" s="39">
        <f>AVERAGE(X124,AB124,AF124)</f>
        <v>14.916666666666666</v>
      </c>
      <c r="AS124" s="39">
        <f>AVERAGE(Y124,AC124,AG124)</f>
        <v>14.913333333333334</v>
      </c>
      <c r="AT124" s="39">
        <f t="shared" si="16"/>
        <v>0.57999999999999996</v>
      </c>
      <c r="AU124" s="39">
        <f t="shared" si="17"/>
        <v>29.83</v>
      </c>
      <c r="AV124" s="39" t="e">
        <f>AVERAGE(AH124,AJ124,AL124)</f>
        <v>#DIV/0!</v>
      </c>
      <c r="AW124" s="39" t="e">
        <f>AVERAGE(AI124,AK124,AM124)</f>
        <v>#DIV/0!</v>
      </c>
    </row>
    <row r="125" spans="1:49" s="39" customFormat="1" x14ac:dyDescent="0.3">
      <c r="A125" s="4" t="s">
        <v>176</v>
      </c>
      <c r="B125" s="2" t="s">
        <v>177</v>
      </c>
      <c r="C125" s="2" t="s">
        <v>179</v>
      </c>
      <c r="D125" s="2" t="s">
        <v>11</v>
      </c>
      <c r="E125" s="2" t="s">
        <v>186</v>
      </c>
      <c r="F125" s="2" t="s">
        <v>185</v>
      </c>
      <c r="G125" s="2" t="s">
        <v>183</v>
      </c>
      <c r="H125" s="2"/>
      <c r="I125" s="2"/>
      <c r="J125" s="2"/>
      <c r="K125" s="2"/>
      <c r="L125" s="2"/>
      <c r="M125" s="2"/>
      <c r="N125" s="2"/>
      <c r="O125" s="2"/>
      <c r="P125" s="20">
        <v>0.88</v>
      </c>
      <c r="Q125" s="42">
        <v>0.88</v>
      </c>
      <c r="R125" s="42">
        <v>0.9</v>
      </c>
      <c r="S125" s="42">
        <v>0.88</v>
      </c>
      <c r="T125" s="42">
        <v>0.87</v>
      </c>
      <c r="U125" s="42">
        <v>0.87</v>
      </c>
      <c r="V125" s="42">
        <v>0.7</v>
      </c>
      <c r="W125" s="42">
        <v>0.46</v>
      </c>
      <c r="X125" s="42">
        <v>6.16</v>
      </c>
      <c r="Y125" s="42">
        <v>6.91</v>
      </c>
      <c r="Z125" s="42">
        <v>0.76</v>
      </c>
      <c r="AA125" s="42">
        <v>0.52</v>
      </c>
      <c r="AB125" s="42">
        <v>5.18</v>
      </c>
      <c r="AC125" s="42">
        <v>5.41</v>
      </c>
      <c r="AD125" s="42">
        <v>0.71</v>
      </c>
      <c r="AE125" s="42">
        <v>0.45</v>
      </c>
      <c r="AF125" s="42">
        <v>5.81</v>
      </c>
      <c r="AG125" s="43">
        <v>6.78</v>
      </c>
      <c r="AH125" s="44"/>
      <c r="AI125" s="42"/>
      <c r="AJ125" s="42"/>
      <c r="AK125" s="42"/>
      <c r="AL125" s="42"/>
      <c r="AM125" s="43"/>
      <c r="AN125" s="39">
        <f>AVERAGE(P125,R125,T125)</f>
        <v>0.8833333333333333</v>
      </c>
      <c r="AO125" s="39">
        <f>AVERAGE(Q125,S125,U125)</f>
        <v>0.87666666666666659</v>
      </c>
      <c r="AP125" s="39">
        <f>AVERAGE(V125,Z125,AD125)</f>
        <v>0.72333333333333327</v>
      </c>
      <c r="AQ125" s="39">
        <f>AVERAGE(W125,AA125,AE125)</f>
        <v>0.47666666666666663</v>
      </c>
      <c r="AR125" s="39">
        <f>AVERAGE(X125,AB125,AF125)</f>
        <v>5.7166666666666659</v>
      </c>
      <c r="AS125" s="39">
        <f>AVERAGE(Y125,AC125,AG125)</f>
        <v>6.3666666666666671</v>
      </c>
      <c r="AT125" s="39">
        <f t="shared" si="16"/>
        <v>1.2</v>
      </c>
      <c r="AU125" s="39">
        <f t="shared" si="17"/>
        <v>12.083333333333332</v>
      </c>
      <c r="AV125" s="39" t="e">
        <f>AVERAGE(AH125,AJ125,AL125)</f>
        <v>#DIV/0!</v>
      </c>
      <c r="AW125" s="39" t="e">
        <f>AVERAGE(AI125,AK125,AM125)</f>
        <v>#DIV/0!</v>
      </c>
    </row>
    <row r="126" spans="1:49" s="39" customFormat="1" x14ac:dyDescent="0.3">
      <c r="A126" s="4" t="s">
        <v>100</v>
      </c>
      <c r="B126" s="3" t="s">
        <v>101</v>
      </c>
      <c r="C126" s="3" t="s">
        <v>102</v>
      </c>
      <c r="D126" s="2" t="s">
        <v>2</v>
      </c>
      <c r="E126" s="2" t="s">
        <v>190</v>
      </c>
      <c r="F126" s="2" t="s">
        <v>175</v>
      </c>
      <c r="G126" s="2" t="s">
        <v>181</v>
      </c>
      <c r="H126" s="2"/>
      <c r="I126" s="2"/>
      <c r="J126" s="2"/>
      <c r="K126" s="2"/>
      <c r="L126" s="2"/>
      <c r="M126" s="2"/>
      <c r="N126" s="2"/>
      <c r="O126" s="2"/>
      <c r="P126" s="17"/>
      <c r="AG126" s="41"/>
      <c r="AH126" s="40"/>
      <c r="AM126" s="41"/>
    </row>
    <row r="127" spans="1:49" s="39" customFormat="1" x14ac:dyDescent="0.3">
      <c r="A127" s="4" t="s">
        <v>100</v>
      </c>
      <c r="B127" s="3" t="s">
        <v>101</v>
      </c>
      <c r="C127" s="3" t="s">
        <v>102</v>
      </c>
      <c r="D127" s="2" t="s">
        <v>3</v>
      </c>
      <c r="E127" s="2" t="s">
        <v>190</v>
      </c>
      <c r="F127" s="2" t="s">
        <v>175</v>
      </c>
      <c r="G127" s="2" t="s">
        <v>183</v>
      </c>
      <c r="H127" s="2"/>
      <c r="I127" s="2"/>
      <c r="J127" s="2"/>
      <c r="K127" s="2"/>
      <c r="L127" s="2"/>
      <c r="M127" s="2"/>
      <c r="N127" s="2"/>
      <c r="O127" s="2"/>
      <c r="P127" s="17"/>
      <c r="AG127" s="41"/>
      <c r="AH127" s="40"/>
      <c r="AM127" s="41"/>
    </row>
    <row r="128" spans="1:49" s="39" customFormat="1" x14ac:dyDescent="0.3">
      <c r="A128" s="4" t="s">
        <v>100</v>
      </c>
      <c r="B128" s="3" t="s">
        <v>101</v>
      </c>
      <c r="C128" s="3" t="s">
        <v>102</v>
      </c>
      <c r="D128" s="2" t="s">
        <v>4</v>
      </c>
      <c r="E128" s="2" t="s">
        <v>190</v>
      </c>
      <c r="F128" s="2" t="s">
        <v>175</v>
      </c>
      <c r="G128" s="2" t="s">
        <v>183</v>
      </c>
      <c r="H128" s="2"/>
      <c r="I128" s="2"/>
      <c r="J128" s="2"/>
      <c r="K128" s="2"/>
      <c r="L128" s="2"/>
      <c r="M128" s="2"/>
      <c r="N128" s="2"/>
      <c r="O128" s="2"/>
      <c r="P128" s="17"/>
      <c r="AG128" s="41"/>
      <c r="AH128" s="40"/>
      <c r="AM128" s="41"/>
    </row>
    <row r="129" spans="1:39" s="39" customFormat="1" x14ac:dyDescent="0.3">
      <c r="A129" s="4" t="s">
        <v>100</v>
      </c>
      <c r="B129" s="3" t="s">
        <v>101</v>
      </c>
      <c r="C129" s="3" t="s">
        <v>102</v>
      </c>
      <c r="D129" s="2" t="s">
        <v>5</v>
      </c>
      <c r="E129" s="2" t="s">
        <v>190</v>
      </c>
      <c r="F129" s="2" t="s">
        <v>175</v>
      </c>
      <c r="G129" s="2" t="s">
        <v>183</v>
      </c>
      <c r="H129" s="2"/>
      <c r="I129" s="2"/>
      <c r="J129" s="2"/>
      <c r="K129" s="2"/>
      <c r="L129" s="2"/>
      <c r="M129" s="2"/>
      <c r="N129" s="2"/>
      <c r="O129" s="2"/>
      <c r="P129" s="17"/>
      <c r="AG129" s="41"/>
      <c r="AH129" s="40"/>
      <c r="AM129" s="41"/>
    </row>
    <row r="130" spans="1:39" s="39" customFormat="1" x14ac:dyDescent="0.3">
      <c r="A130" s="4" t="s">
        <v>100</v>
      </c>
      <c r="B130" s="3" t="s">
        <v>101</v>
      </c>
      <c r="C130" s="3" t="s">
        <v>102</v>
      </c>
      <c r="D130" s="2" t="s">
        <v>6</v>
      </c>
      <c r="E130" s="2" t="s">
        <v>190</v>
      </c>
      <c r="F130" s="2" t="s">
        <v>175</v>
      </c>
      <c r="G130" s="2" t="s">
        <v>183</v>
      </c>
      <c r="H130" s="2"/>
      <c r="I130" s="2"/>
      <c r="J130" s="2"/>
      <c r="K130" s="2"/>
      <c r="L130" s="2"/>
      <c r="M130" s="2"/>
      <c r="N130" s="2"/>
      <c r="O130" s="2"/>
      <c r="P130" s="17"/>
      <c r="AG130" s="41"/>
      <c r="AH130" s="40"/>
      <c r="AM130" s="41"/>
    </row>
    <row r="131" spans="1:39" s="39" customFormat="1" x14ac:dyDescent="0.3">
      <c r="A131" s="4" t="s">
        <v>100</v>
      </c>
      <c r="B131" s="3" t="s">
        <v>101</v>
      </c>
      <c r="C131" s="3" t="s">
        <v>102</v>
      </c>
      <c r="D131" s="2" t="s">
        <v>7</v>
      </c>
      <c r="E131" s="2" t="s">
        <v>190</v>
      </c>
      <c r="F131" s="2" t="s">
        <v>175</v>
      </c>
      <c r="G131" s="2" t="s">
        <v>183</v>
      </c>
      <c r="H131" s="2"/>
      <c r="I131" s="2"/>
      <c r="J131" s="2"/>
      <c r="K131" s="2"/>
      <c r="L131" s="2"/>
      <c r="M131" s="2"/>
      <c r="N131" s="2"/>
      <c r="O131" s="2"/>
      <c r="P131" s="17"/>
      <c r="AG131" s="41"/>
      <c r="AH131" s="40"/>
      <c r="AM131" s="41"/>
    </row>
    <row r="132" spans="1:39" s="39" customFormat="1" x14ac:dyDescent="0.3">
      <c r="A132" s="4" t="s">
        <v>100</v>
      </c>
      <c r="B132" s="3" t="s">
        <v>101</v>
      </c>
      <c r="C132" s="3" t="s">
        <v>102</v>
      </c>
      <c r="D132" s="2" t="s">
        <v>8</v>
      </c>
      <c r="E132" s="2" t="s">
        <v>190</v>
      </c>
      <c r="F132" s="2" t="s">
        <v>175</v>
      </c>
      <c r="G132" s="2" t="s">
        <v>183</v>
      </c>
      <c r="H132" s="2"/>
      <c r="I132" s="2"/>
      <c r="J132" s="2"/>
      <c r="K132" s="2"/>
      <c r="L132" s="2"/>
      <c r="M132" s="2"/>
      <c r="N132" s="2"/>
      <c r="O132" s="2"/>
      <c r="P132" s="17"/>
      <c r="AG132" s="41"/>
      <c r="AH132" s="40"/>
      <c r="AM132" s="41"/>
    </row>
    <row r="133" spans="1:39" s="39" customFormat="1" x14ac:dyDescent="0.3">
      <c r="A133" s="4" t="s">
        <v>100</v>
      </c>
      <c r="B133" s="3" t="s">
        <v>101</v>
      </c>
      <c r="C133" s="3" t="s">
        <v>102</v>
      </c>
      <c r="D133" s="2" t="s">
        <v>9</v>
      </c>
      <c r="E133" s="2" t="s">
        <v>190</v>
      </c>
      <c r="F133" s="2" t="s">
        <v>175</v>
      </c>
      <c r="G133" s="2" t="s">
        <v>183</v>
      </c>
      <c r="H133" s="2"/>
      <c r="I133" s="2"/>
      <c r="J133" s="2"/>
      <c r="K133" s="2"/>
      <c r="L133" s="2"/>
      <c r="M133" s="2"/>
      <c r="N133" s="2"/>
      <c r="O133" s="2"/>
      <c r="P133" s="17"/>
      <c r="AG133" s="41"/>
      <c r="AH133" s="40"/>
      <c r="AM133" s="41"/>
    </row>
    <row r="134" spans="1:39" s="39" customFormat="1" x14ac:dyDescent="0.3">
      <c r="A134" s="4" t="s">
        <v>100</v>
      </c>
      <c r="B134" s="3" t="s">
        <v>101</v>
      </c>
      <c r="C134" s="3" t="s">
        <v>102</v>
      </c>
      <c r="D134" s="2" t="s">
        <v>10</v>
      </c>
      <c r="E134" s="2" t="s">
        <v>190</v>
      </c>
      <c r="F134" s="2" t="s">
        <v>175</v>
      </c>
      <c r="G134" s="2" t="s">
        <v>183</v>
      </c>
      <c r="H134" s="2"/>
      <c r="I134" s="2"/>
      <c r="J134" s="2"/>
      <c r="K134" s="2"/>
      <c r="L134" s="2"/>
      <c r="M134" s="2"/>
      <c r="N134" s="2"/>
      <c r="O134" s="2"/>
      <c r="P134" s="17"/>
      <c r="AG134" s="41"/>
      <c r="AH134" s="40"/>
      <c r="AM134" s="41"/>
    </row>
    <row r="135" spans="1:39" s="39" customFormat="1" x14ac:dyDescent="0.3">
      <c r="A135" s="4" t="s">
        <v>100</v>
      </c>
      <c r="B135" s="3" t="s">
        <v>101</v>
      </c>
      <c r="C135" s="3" t="s">
        <v>102</v>
      </c>
      <c r="D135" s="2" t="s">
        <v>11</v>
      </c>
      <c r="E135" s="2" t="s">
        <v>190</v>
      </c>
      <c r="F135" s="2" t="s">
        <v>175</v>
      </c>
      <c r="G135" s="2" t="s">
        <v>183</v>
      </c>
      <c r="H135" s="2"/>
      <c r="I135" s="2"/>
      <c r="J135" s="2"/>
      <c r="K135" s="2"/>
      <c r="L135" s="2"/>
      <c r="M135" s="2"/>
      <c r="N135" s="2"/>
      <c r="O135" s="2"/>
      <c r="P135" s="17"/>
      <c r="AG135" s="41"/>
      <c r="AH135" s="40"/>
      <c r="AM135" s="41"/>
    </row>
    <row r="136" spans="1:39" s="39" customFormat="1" x14ac:dyDescent="0.3">
      <c r="A136" s="4" t="s">
        <v>103</v>
      </c>
      <c r="B136" s="2" t="s">
        <v>104</v>
      </c>
      <c r="C136" s="2" t="s">
        <v>105</v>
      </c>
      <c r="D136" s="2" t="s">
        <v>2</v>
      </c>
      <c r="E136" s="2" t="s">
        <v>190</v>
      </c>
      <c r="F136" s="2" t="s">
        <v>175</v>
      </c>
      <c r="G136" s="2" t="s">
        <v>181</v>
      </c>
      <c r="H136" s="2"/>
      <c r="I136" s="2"/>
      <c r="J136" s="2"/>
      <c r="K136" s="2"/>
      <c r="L136" s="2"/>
      <c r="M136" s="2"/>
      <c r="N136" s="2"/>
      <c r="O136" s="2"/>
      <c r="P136" s="17"/>
      <c r="AG136" s="41"/>
      <c r="AH136" s="40"/>
      <c r="AM136" s="41"/>
    </row>
    <row r="137" spans="1:39" s="39" customFormat="1" x14ac:dyDescent="0.3">
      <c r="A137" s="4" t="s">
        <v>103</v>
      </c>
      <c r="B137" s="2" t="s">
        <v>104</v>
      </c>
      <c r="C137" s="2" t="s">
        <v>105</v>
      </c>
      <c r="D137" s="2" t="s">
        <v>3</v>
      </c>
      <c r="E137" s="2" t="s">
        <v>190</v>
      </c>
      <c r="F137" s="2" t="s">
        <v>175</v>
      </c>
      <c r="G137" s="2" t="s">
        <v>181</v>
      </c>
      <c r="H137" s="2"/>
      <c r="I137" s="2"/>
      <c r="J137" s="2"/>
      <c r="K137" s="2"/>
      <c r="L137" s="2"/>
      <c r="M137" s="2"/>
      <c r="N137" s="2"/>
      <c r="O137" s="2"/>
      <c r="P137" s="17"/>
      <c r="AG137" s="41"/>
      <c r="AH137" s="40"/>
      <c r="AM137" s="41"/>
    </row>
    <row r="138" spans="1:39" s="39" customFormat="1" x14ac:dyDescent="0.3">
      <c r="A138" s="4" t="s">
        <v>103</v>
      </c>
      <c r="B138" s="2" t="s">
        <v>104</v>
      </c>
      <c r="C138" s="2" t="s">
        <v>105</v>
      </c>
      <c r="D138" s="2" t="s">
        <v>4</v>
      </c>
      <c r="E138" s="2" t="s">
        <v>190</v>
      </c>
      <c r="F138" s="2" t="s">
        <v>175</v>
      </c>
      <c r="G138" s="2" t="s">
        <v>181</v>
      </c>
      <c r="H138" s="2"/>
      <c r="I138" s="2"/>
      <c r="J138" s="2"/>
      <c r="K138" s="2"/>
      <c r="L138" s="2"/>
      <c r="M138" s="2"/>
      <c r="N138" s="2"/>
      <c r="O138" s="2"/>
      <c r="P138" s="17"/>
      <c r="AG138" s="41"/>
      <c r="AH138" s="40"/>
      <c r="AM138" s="41"/>
    </row>
    <row r="139" spans="1:39" s="39" customFormat="1" x14ac:dyDescent="0.3">
      <c r="A139" s="4" t="s">
        <v>103</v>
      </c>
      <c r="B139" s="2" t="s">
        <v>104</v>
      </c>
      <c r="C139" s="2" t="s">
        <v>105</v>
      </c>
      <c r="D139" s="2" t="s">
        <v>5</v>
      </c>
      <c r="E139" s="2" t="s">
        <v>190</v>
      </c>
      <c r="F139" s="2" t="s">
        <v>175</v>
      </c>
      <c r="G139" s="2" t="s">
        <v>183</v>
      </c>
      <c r="H139" s="2"/>
      <c r="I139" s="2"/>
      <c r="J139" s="2"/>
      <c r="K139" s="2"/>
      <c r="L139" s="2"/>
      <c r="M139" s="2"/>
      <c r="N139" s="2"/>
      <c r="O139" s="2"/>
      <c r="P139" s="17"/>
      <c r="AG139" s="41"/>
      <c r="AH139" s="40"/>
      <c r="AM139" s="41"/>
    </row>
    <row r="140" spans="1:39" s="39" customFormat="1" x14ac:dyDescent="0.3">
      <c r="A140" s="38" t="s">
        <v>103</v>
      </c>
      <c r="B140" s="39" t="s">
        <v>104</v>
      </c>
      <c r="C140" s="39" t="s">
        <v>105</v>
      </c>
      <c r="D140" s="39" t="s">
        <v>6</v>
      </c>
      <c r="E140" s="39" t="s">
        <v>190</v>
      </c>
      <c r="F140" s="39" t="s">
        <v>175</v>
      </c>
      <c r="G140" s="39" t="s">
        <v>183</v>
      </c>
      <c r="P140" s="40"/>
      <c r="AG140" s="41"/>
      <c r="AH140" s="40"/>
      <c r="AM140" s="41"/>
    </row>
    <row r="141" spans="1:39" s="39" customFormat="1" x14ac:dyDescent="0.3">
      <c r="A141" s="38" t="s">
        <v>103</v>
      </c>
      <c r="B141" s="39" t="s">
        <v>104</v>
      </c>
      <c r="C141" s="39" t="s">
        <v>105</v>
      </c>
      <c r="D141" s="39" t="s">
        <v>7</v>
      </c>
      <c r="E141" s="39" t="s">
        <v>190</v>
      </c>
      <c r="F141" s="39" t="s">
        <v>175</v>
      </c>
      <c r="G141" s="39" t="s">
        <v>183</v>
      </c>
      <c r="P141" s="40"/>
      <c r="AG141" s="41"/>
      <c r="AH141" s="40"/>
      <c r="AM141" s="41"/>
    </row>
    <row r="142" spans="1:39" s="39" customFormat="1" x14ac:dyDescent="0.3">
      <c r="A142" s="38" t="s">
        <v>103</v>
      </c>
      <c r="B142" s="39" t="s">
        <v>104</v>
      </c>
      <c r="C142" s="39" t="s">
        <v>105</v>
      </c>
      <c r="D142" s="39" t="s">
        <v>8</v>
      </c>
      <c r="E142" s="39" t="s">
        <v>190</v>
      </c>
      <c r="F142" s="39" t="s">
        <v>175</v>
      </c>
      <c r="G142" s="39" t="s">
        <v>181</v>
      </c>
      <c r="P142" s="40"/>
      <c r="AG142" s="41"/>
      <c r="AH142" s="40"/>
      <c r="AM142" s="41"/>
    </row>
    <row r="143" spans="1:39" s="39" customFormat="1" x14ac:dyDescent="0.3">
      <c r="A143" s="38" t="s">
        <v>103</v>
      </c>
      <c r="B143" s="39" t="s">
        <v>104</v>
      </c>
      <c r="C143" s="39" t="s">
        <v>105</v>
      </c>
      <c r="D143" s="39" t="s">
        <v>9</v>
      </c>
      <c r="E143" s="39" t="s">
        <v>190</v>
      </c>
      <c r="F143" s="39" t="s">
        <v>175</v>
      </c>
      <c r="G143" s="39" t="s">
        <v>183</v>
      </c>
      <c r="P143" s="40"/>
      <c r="AG143" s="41"/>
      <c r="AH143" s="40"/>
      <c r="AM143" s="41"/>
    </row>
    <row r="144" spans="1:39" s="39" customFormat="1" x14ac:dyDescent="0.3">
      <c r="A144" s="38" t="s">
        <v>103</v>
      </c>
      <c r="B144" s="39" t="s">
        <v>104</v>
      </c>
      <c r="C144" s="39" t="s">
        <v>105</v>
      </c>
      <c r="D144" s="39" t="s">
        <v>10</v>
      </c>
      <c r="E144" s="39" t="s">
        <v>190</v>
      </c>
      <c r="F144" s="39" t="s">
        <v>175</v>
      </c>
      <c r="G144" s="39" t="s">
        <v>183</v>
      </c>
      <c r="P144" s="40"/>
      <c r="AG144" s="41"/>
      <c r="AH144" s="40"/>
      <c r="AM144" s="41"/>
    </row>
    <row r="145" spans="1:39" s="39" customFormat="1" x14ac:dyDescent="0.3">
      <c r="A145" s="38" t="s">
        <v>103</v>
      </c>
      <c r="B145" s="39" t="s">
        <v>104</v>
      </c>
      <c r="C145" s="39" t="s">
        <v>105</v>
      </c>
      <c r="D145" s="39" t="s">
        <v>11</v>
      </c>
      <c r="E145" s="39" t="s">
        <v>190</v>
      </c>
      <c r="F145" s="39" t="s">
        <v>175</v>
      </c>
      <c r="G145" s="39" t="s">
        <v>183</v>
      </c>
      <c r="P145" s="40"/>
      <c r="AG145" s="41"/>
      <c r="AH145" s="40"/>
      <c r="AM145" s="41"/>
    </row>
    <row r="146" spans="1:39" s="39" customFormat="1" x14ac:dyDescent="0.3">
      <c r="A146" s="38" t="s">
        <v>106</v>
      </c>
      <c r="B146" s="39" t="s">
        <v>107</v>
      </c>
      <c r="C146" s="39" t="s">
        <v>108</v>
      </c>
      <c r="D146" s="39" t="s">
        <v>2</v>
      </c>
      <c r="E146" s="39" t="s">
        <v>190</v>
      </c>
      <c r="F146" s="39" t="s">
        <v>175</v>
      </c>
      <c r="G146" s="39" t="s">
        <v>181</v>
      </c>
      <c r="P146" s="40"/>
      <c r="AG146" s="41"/>
      <c r="AH146" s="40"/>
      <c r="AM146" s="41"/>
    </row>
    <row r="147" spans="1:39" s="39" customFormat="1" x14ac:dyDescent="0.3">
      <c r="A147" s="38" t="s">
        <v>106</v>
      </c>
      <c r="B147" s="39" t="s">
        <v>107</v>
      </c>
      <c r="C147" s="39" t="s">
        <v>108</v>
      </c>
      <c r="D147" s="39" t="s">
        <v>3</v>
      </c>
      <c r="E147" s="39" t="s">
        <v>190</v>
      </c>
      <c r="F147" s="39" t="s">
        <v>175</v>
      </c>
      <c r="G147" s="39" t="s">
        <v>181</v>
      </c>
      <c r="P147" s="40"/>
      <c r="AG147" s="41"/>
      <c r="AH147" s="40"/>
      <c r="AM147" s="41"/>
    </row>
    <row r="148" spans="1:39" s="39" customFormat="1" x14ac:dyDescent="0.3">
      <c r="A148" s="38" t="s">
        <v>106</v>
      </c>
      <c r="B148" s="39" t="s">
        <v>107</v>
      </c>
      <c r="C148" s="39" t="s">
        <v>108</v>
      </c>
      <c r="D148" s="39" t="s">
        <v>4</v>
      </c>
      <c r="E148" s="39" t="s">
        <v>190</v>
      </c>
      <c r="F148" s="39" t="s">
        <v>175</v>
      </c>
      <c r="G148" s="39" t="s">
        <v>183</v>
      </c>
      <c r="P148" s="40"/>
      <c r="AG148" s="41"/>
      <c r="AH148" s="40"/>
      <c r="AM148" s="41"/>
    </row>
    <row r="149" spans="1:39" s="39" customFormat="1" x14ac:dyDescent="0.3">
      <c r="A149" s="38" t="s">
        <v>106</v>
      </c>
      <c r="B149" s="39" t="s">
        <v>107</v>
      </c>
      <c r="C149" s="39" t="s">
        <v>108</v>
      </c>
      <c r="D149" s="39" t="s">
        <v>5</v>
      </c>
      <c r="E149" s="39" t="s">
        <v>190</v>
      </c>
      <c r="F149" s="39" t="s">
        <v>175</v>
      </c>
      <c r="G149" s="39" t="s">
        <v>181</v>
      </c>
      <c r="P149" s="40"/>
      <c r="AG149" s="41"/>
      <c r="AH149" s="40"/>
      <c r="AM149" s="41"/>
    </row>
    <row r="150" spans="1:39" s="39" customFormat="1" x14ac:dyDescent="0.3">
      <c r="A150" s="38" t="s">
        <v>106</v>
      </c>
      <c r="B150" s="39" t="s">
        <v>107</v>
      </c>
      <c r="C150" s="39" t="s">
        <v>108</v>
      </c>
      <c r="D150" s="39" t="s">
        <v>6</v>
      </c>
      <c r="E150" s="39" t="s">
        <v>190</v>
      </c>
      <c r="F150" s="39" t="s">
        <v>175</v>
      </c>
      <c r="G150" s="39" t="s">
        <v>181</v>
      </c>
      <c r="P150" s="40"/>
      <c r="AG150" s="41"/>
      <c r="AH150" s="40"/>
      <c r="AM150" s="41"/>
    </row>
    <row r="151" spans="1:39" s="39" customFormat="1" x14ac:dyDescent="0.3">
      <c r="A151" s="38" t="s">
        <v>106</v>
      </c>
      <c r="B151" s="39" t="s">
        <v>107</v>
      </c>
      <c r="C151" s="39" t="s">
        <v>108</v>
      </c>
      <c r="D151" s="39" t="s">
        <v>7</v>
      </c>
      <c r="E151" s="39" t="s">
        <v>190</v>
      </c>
      <c r="F151" s="39" t="s">
        <v>175</v>
      </c>
      <c r="G151" s="39" t="s">
        <v>181</v>
      </c>
      <c r="P151" s="40"/>
      <c r="AG151" s="41"/>
      <c r="AH151" s="40"/>
      <c r="AM151" s="41"/>
    </row>
    <row r="152" spans="1:39" s="39" customFormat="1" x14ac:dyDescent="0.3">
      <c r="A152" s="38" t="s">
        <v>106</v>
      </c>
      <c r="B152" s="39" t="s">
        <v>107</v>
      </c>
      <c r="C152" s="39" t="s">
        <v>108</v>
      </c>
      <c r="D152" s="39" t="s">
        <v>8</v>
      </c>
      <c r="E152" s="39" t="s">
        <v>190</v>
      </c>
      <c r="F152" s="39" t="s">
        <v>175</v>
      </c>
      <c r="G152" s="39" t="s">
        <v>183</v>
      </c>
      <c r="P152" s="40"/>
      <c r="AG152" s="41"/>
      <c r="AH152" s="40"/>
      <c r="AM152" s="41"/>
    </row>
    <row r="153" spans="1:39" s="39" customFormat="1" x14ac:dyDescent="0.3">
      <c r="A153" s="38" t="s">
        <v>106</v>
      </c>
      <c r="B153" s="39" t="s">
        <v>107</v>
      </c>
      <c r="C153" s="39" t="s">
        <v>108</v>
      </c>
      <c r="D153" s="39" t="s">
        <v>9</v>
      </c>
      <c r="E153" s="39" t="s">
        <v>190</v>
      </c>
      <c r="F153" s="39" t="s">
        <v>175</v>
      </c>
      <c r="G153" s="39" t="s">
        <v>181</v>
      </c>
      <c r="P153" s="40"/>
      <c r="AG153" s="41"/>
      <c r="AH153" s="40"/>
      <c r="AM153" s="41"/>
    </row>
    <row r="154" spans="1:39" s="39" customFormat="1" x14ac:dyDescent="0.3">
      <c r="A154" s="38" t="s">
        <v>106</v>
      </c>
      <c r="B154" s="39" t="s">
        <v>107</v>
      </c>
      <c r="C154" s="39" t="s">
        <v>108</v>
      </c>
      <c r="D154" s="39" t="s">
        <v>10</v>
      </c>
      <c r="E154" s="39" t="s">
        <v>190</v>
      </c>
      <c r="F154" s="39" t="s">
        <v>175</v>
      </c>
      <c r="G154" s="39" t="s">
        <v>183</v>
      </c>
      <c r="P154" s="40"/>
      <c r="AG154" s="41"/>
      <c r="AH154" s="40"/>
      <c r="AM154" s="41"/>
    </row>
    <row r="155" spans="1:39" s="39" customFormat="1" x14ac:dyDescent="0.3">
      <c r="A155" s="38" t="s">
        <v>106</v>
      </c>
      <c r="B155" s="39" t="s">
        <v>107</v>
      </c>
      <c r="C155" s="39" t="s">
        <v>108</v>
      </c>
      <c r="D155" s="39" t="s">
        <v>11</v>
      </c>
      <c r="E155" s="39" t="s">
        <v>190</v>
      </c>
      <c r="F155" s="39" t="s">
        <v>175</v>
      </c>
      <c r="G155" s="39" t="s">
        <v>183</v>
      </c>
      <c r="P155" s="40"/>
      <c r="AG155" s="41"/>
      <c r="AH155" s="40"/>
      <c r="AM155" s="41"/>
    </row>
    <row r="156" spans="1:39" s="39" customFormat="1" x14ac:dyDescent="0.3">
      <c r="A156" s="38" t="s">
        <v>109</v>
      </c>
      <c r="B156" s="39" t="s">
        <v>110</v>
      </c>
      <c r="C156" s="39" t="s">
        <v>111</v>
      </c>
      <c r="D156" s="39" t="s">
        <v>2</v>
      </c>
      <c r="E156" s="39" t="s">
        <v>190</v>
      </c>
      <c r="F156" s="39" t="s">
        <v>175</v>
      </c>
      <c r="G156" s="39" t="s">
        <v>181</v>
      </c>
      <c r="P156" s="40"/>
      <c r="AG156" s="41"/>
      <c r="AH156" s="40"/>
      <c r="AM156" s="41"/>
    </row>
    <row r="157" spans="1:39" s="39" customFormat="1" x14ac:dyDescent="0.3">
      <c r="A157" s="38" t="s">
        <v>109</v>
      </c>
      <c r="B157" s="39" t="s">
        <v>110</v>
      </c>
      <c r="C157" s="39" t="s">
        <v>111</v>
      </c>
      <c r="D157" s="39" t="s">
        <v>3</v>
      </c>
      <c r="E157" s="39" t="s">
        <v>190</v>
      </c>
      <c r="F157" s="39" t="s">
        <v>175</v>
      </c>
      <c r="G157" s="39" t="s">
        <v>181</v>
      </c>
      <c r="P157" s="40"/>
      <c r="AG157" s="41"/>
      <c r="AH157" s="40"/>
      <c r="AM157" s="41"/>
    </row>
    <row r="158" spans="1:39" s="39" customFormat="1" x14ac:dyDescent="0.3">
      <c r="A158" s="38" t="s">
        <v>109</v>
      </c>
      <c r="B158" s="39" t="s">
        <v>110</v>
      </c>
      <c r="C158" s="39" t="s">
        <v>111</v>
      </c>
      <c r="D158" s="39" t="s">
        <v>4</v>
      </c>
      <c r="E158" s="39" t="s">
        <v>190</v>
      </c>
      <c r="F158" s="39" t="s">
        <v>175</v>
      </c>
      <c r="G158" s="39" t="s">
        <v>181</v>
      </c>
      <c r="P158" s="40"/>
      <c r="AG158" s="41"/>
      <c r="AH158" s="40"/>
      <c r="AM158" s="41"/>
    </row>
    <row r="159" spans="1:39" s="39" customFormat="1" x14ac:dyDescent="0.3">
      <c r="A159" s="38" t="s">
        <v>109</v>
      </c>
      <c r="B159" s="39" t="s">
        <v>110</v>
      </c>
      <c r="C159" s="39" t="s">
        <v>111</v>
      </c>
      <c r="D159" s="39" t="s">
        <v>5</v>
      </c>
      <c r="E159" s="39" t="s">
        <v>190</v>
      </c>
      <c r="F159" s="39" t="s">
        <v>175</v>
      </c>
      <c r="G159" s="39" t="s">
        <v>181</v>
      </c>
      <c r="P159" s="40"/>
      <c r="AG159" s="41"/>
      <c r="AH159" s="40"/>
      <c r="AM159" s="41"/>
    </row>
    <row r="160" spans="1:39" s="39" customFormat="1" x14ac:dyDescent="0.3">
      <c r="A160" s="38" t="s">
        <v>109</v>
      </c>
      <c r="B160" s="39" t="s">
        <v>110</v>
      </c>
      <c r="C160" s="39" t="s">
        <v>111</v>
      </c>
      <c r="D160" s="39" t="s">
        <v>6</v>
      </c>
      <c r="E160" s="39" t="s">
        <v>190</v>
      </c>
      <c r="F160" s="39" t="s">
        <v>175</v>
      </c>
      <c r="G160" s="39" t="s">
        <v>181</v>
      </c>
      <c r="P160" s="40"/>
      <c r="AG160" s="41"/>
      <c r="AH160" s="40"/>
      <c r="AM160" s="41"/>
    </row>
    <row r="161" spans="1:39" s="39" customFormat="1" x14ac:dyDescent="0.3">
      <c r="A161" s="38" t="s">
        <v>109</v>
      </c>
      <c r="B161" s="39" t="s">
        <v>110</v>
      </c>
      <c r="C161" s="39" t="s">
        <v>111</v>
      </c>
      <c r="D161" s="39" t="s">
        <v>7</v>
      </c>
      <c r="E161" s="39" t="s">
        <v>190</v>
      </c>
      <c r="F161" s="39" t="s">
        <v>175</v>
      </c>
      <c r="G161" s="39" t="s">
        <v>181</v>
      </c>
      <c r="P161" s="40"/>
      <c r="AG161" s="41"/>
      <c r="AH161" s="40"/>
      <c r="AM161" s="41"/>
    </row>
    <row r="162" spans="1:39" s="39" customFormat="1" x14ac:dyDescent="0.3">
      <c r="A162" s="38" t="s">
        <v>109</v>
      </c>
      <c r="B162" s="39" t="s">
        <v>110</v>
      </c>
      <c r="C162" s="39" t="s">
        <v>111</v>
      </c>
      <c r="D162" s="39" t="s">
        <v>8</v>
      </c>
      <c r="E162" s="39" t="s">
        <v>190</v>
      </c>
      <c r="F162" s="39" t="s">
        <v>175</v>
      </c>
      <c r="G162" s="39" t="s">
        <v>183</v>
      </c>
      <c r="P162" s="40"/>
      <c r="AG162" s="41"/>
      <c r="AH162" s="40"/>
      <c r="AM162" s="41"/>
    </row>
    <row r="163" spans="1:39" s="39" customFormat="1" x14ac:dyDescent="0.3">
      <c r="A163" s="38" t="s">
        <v>109</v>
      </c>
      <c r="B163" s="39" t="s">
        <v>110</v>
      </c>
      <c r="C163" s="39" t="s">
        <v>111</v>
      </c>
      <c r="D163" s="39" t="s">
        <v>9</v>
      </c>
      <c r="E163" s="39" t="s">
        <v>190</v>
      </c>
      <c r="F163" s="39" t="s">
        <v>175</v>
      </c>
      <c r="G163" s="39" t="s">
        <v>183</v>
      </c>
      <c r="P163" s="40"/>
      <c r="AG163" s="41"/>
      <c r="AH163" s="40"/>
      <c r="AM163" s="41"/>
    </row>
    <row r="164" spans="1:39" s="39" customFormat="1" x14ac:dyDescent="0.3">
      <c r="A164" s="38" t="s">
        <v>109</v>
      </c>
      <c r="B164" s="39" t="s">
        <v>110</v>
      </c>
      <c r="C164" s="39" t="s">
        <v>111</v>
      </c>
      <c r="D164" s="39" t="s">
        <v>10</v>
      </c>
      <c r="E164" s="39" t="s">
        <v>190</v>
      </c>
      <c r="F164" s="39" t="s">
        <v>175</v>
      </c>
      <c r="G164" s="39" t="s">
        <v>183</v>
      </c>
      <c r="P164" s="40"/>
      <c r="AG164" s="41"/>
      <c r="AH164" s="40"/>
      <c r="AM164" s="41"/>
    </row>
    <row r="165" spans="1:39" s="39" customFormat="1" x14ac:dyDescent="0.3">
      <c r="A165" s="38" t="s">
        <v>109</v>
      </c>
      <c r="B165" s="39" t="s">
        <v>110</v>
      </c>
      <c r="C165" s="39" t="s">
        <v>111</v>
      </c>
      <c r="D165" s="39" t="s">
        <v>11</v>
      </c>
      <c r="E165" s="39" t="s">
        <v>190</v>
      </c>
      <c r="F165" s="39" t="s">
        <v>175</v>
      </c>
      <c r="G165" s="39" t="s">
        <v>183</v>
      </c>
      <c r="P165" s="40"/>
      <c r="AG165" s="41"/>
      <c r="AH165" s="40"/>
      <c r="AM165" s="41"/>
    </row>
    <row r="166" spans="1:39" s="39" customFormat="1" x14ac:dyDescent="0.3">
      <c r="A166" s="38" t="s">
        <v>112</v>
      </c>
      <c r="B166" s="39" t="s">
        <v>113</v>
      </c>
      <c r="C166" s="39" t="s">
        <v>114</v>
      </c>
      <c r="D166" s="39" t="s">
        <v>2</v>
      </c>
      <c r="E166" s="39" t="s">
        <v>190</v>
      </c>
      <c r="F166" s="39" t="s">
        <v>175</v>
      </c>
      <c r="G166" s="39" t="s">
        <v>181</v>
      </c>
      <c r="P166" s="40"/>
      <c r="AG166" s="41"/>
      <c r="AH166" s="40"/>
      <c r="AM166" s="41"/>
    </row>
    <row r="167" spans="1:39" s="39" customFormat="1" x14ac:dyDescent="0.3">
      <c r="A167" s="38" t="s">
        <v>112</v>
      </c>
      <c r="B167" s="39" t="s">
        <v>113</v>
      </c>
      <c r="C167" s="39" t="s">
        <v>114</v>
      </c>
      <c r="D167" s="39" t="s">
        <v>3</v>
      </c>
      <c r="E167" s="39" t="s">
        <v>190</v>
      </c>
      <c r="F167" s="39" t="s">
        <v>175</v>
      </c>
      <c r="G167" s="39" t="s">
        <v>183</v>
      </c>
      <c r="P167" s="40"/>
      <c r="AG167" s="41"/>
      <c r="AH167" s="40"/>
      <c r="AM167" s="41"/>
    </row>
    <row r="168" spans="1:39" s="39" customFormat="1" x14ac:dyDescent="0.3">
      <c r="A168" s="38" t="s">
        <v>112</v>
      </c>
      <c r="B168" s="39" t="s">
        <v>113</v>
      </c>
      <c r="C168" s="39" t="s">
        <v>114</v>
      </c>
      <c r="D168" s="39" t="s">
        <v>4</v>
      </c>
      <c r="E168" s="39" t="s">
        <v>190</v>
      </c>
      <c r="F168" s="39" t="s">
        <v>175</v>
      </c>
      <c r="G168" s="39" t="s">
        <v>183</v>
      </c>
      <c r="P168" s="40"/>
      <c r="AG168" s="41"/>
      <c r="AH168" s="40"/>
      <c r="AM168" s="41"/>
    </row>
    <row r="169" spans="1:39" s="39" customFormat="1" x14ac:dyDescent="0.3">
      <c r="A169" s="38" t="s">
        <v>112</v>
      </c>
      <c r="B169" s="39" t="s">
        <v>113</v>
      </c>
      <c r="C169" s="39" t="s">
        <v>114</v>
      </c>
      <c r="D169" s="39" t="s">
        <v>5</v>
      </c>
      <c r="E169" s="39" t="s">
        <v>190</v>
      </c>
      <c r="F169" s="39" t="s">
        <v>175</v>
      </c>
      <c r="G169" s="39" t="s">
        <v>183</v>
      </c>
      <c r="P169" s="40"/>
      <c r="AG169" s="41"/>
      <c r="AH169" s="40"/>
      <c r="AM169" s="41"/>
    </row>
    <row r="170" spans="1:39" s="39" customFormat="1" x14ac:dyDescent="0.3">
      <c r="A170" s="38" t="s">
        <v>112</v>
      </c>
      <c r="B170" s="39" t="s">
        <v>113</v>
      </c>
      <c r="C170" s="39" t="s">
        <v>114</v>
      </c>
      <c r="D170" s="39" t="s">
        <v>6</v>
      </c>
      <c r="E170" s="39" t="s">
        <v>190</v>
      </c>
      <c r="F170" s="39" t="s">
        <v>175</v>
      </c>
      <c r="G170" s="39" t="s">
        <v>183</v>
      </c>
      <c r="P170" s="40"/>
      <c r="AG170" s="41"/>
      <c r="AH170" s="40"/>
      <c r="AM170" s="41"/>
    </row>
    <row r="171" spans="1:39" s="39" customFormat="1" x14ac:dyDescent="0.3">
      <c r="A171" s="38" t="s">
        <v>112</v>
      </c>
      <c r="B171" s="39" t="s">
        <v>113</v>
      </c>
      <c r="C171" s="39" t="s">
        <v>114</v>
      </c>
      <c r="D171" s="39" t="s">
        <v>7</v>
      </c>
      <c r="E171" s="39" t="s">
        <v>190</v>
      </c>
      <c r="F171" s="39" t="s">
        <v>175</v>
      </c>
      <c r="G171" s="39" t="s">
        <v>183</v>
      </c>
      <c r="P171" s="40"/>
      <c r="AG171" s="41"/>
      <c r="AH171" s="40"/>
      <c r="AM171" s="41"/>
    </row>
    <row r="172" spans="1:39" s="39" customFormat="1" x14ac:dyDescent="0.3">
      <c r="A172" s="38" t="s">
        <v>112</v>
      </c>
      <c r="B172" s="39" t="s">
        <v>113</v>
      </c>
      <c r="C172" s="39" t="s">
        <v>114</v>
      </c>
      <c r="D172" s="39" t="s">
        <v>8</v>
      </c>
      <c r="E172" s="39" t="s">
        <v>190</v>
      </c>
      <c r="F172" s="39" t="s">
        <v>175</v>
      </c>
      <c r="G172" s="39" t="s">
        <v>183</v>
      </c>
      <c r="P172" s="40"/>
      <c r="AG172" s="41"/>
      <c r="AH172" s="40"/>
      <c r="AM172" s="41"/>
    </row>
    <row r="173" spans="1:39" s="39" customFormat="1" x14ac:dyDescent="0.3">
      <c r="A173" s="38" t="s">
        <v>112</v>
      </c>
      <c r="B173" s="39" t="s">
        <v>113</v>
      </c>
      <c r="C173" s="39" t="s">
        <v>114</v>
      </c>
      <c r="D173" s="39" t="s">
        <v>9</v>
      </c>
      <c r="E173" s="39" t="s">
        <v>190</v>
      </c>
      <c r="F173" s="39" t="s">
        <v>175</v>
      </c>
      <c r="G173" s="39" t="s">
        <v>183</v>
      </c>
      <c r="P173" s="40"/>
      <c r="AG173" s="41"/>
      <c r="AH173" s="40"/>
      <c r="AM173" s="41"/>
    </row>
    <row r="174" spans="1:39" s="39" customFormat="1" x14ac:dyDescent="0.3">
      <c r="A174" s="38" t="s">
        <v>112</v>
      </c>
      <c r="B174" s="39" t="s">
        <v>113</v>
      </c>
      <c r="C174" s="39" t="s">
        <v>114</v>
      </c>
      <c r="D174" s="39" t="s">
        <v>10</v>
      </c>
      <c r="E174" s="39" t="s">
        <v>190</v>
      </c>
      <c r="F174" s="39" t="s">
        <v>175</v>
      </c>
      <c r="G174" s="39" t="s">
        <v>183</v>
      </c>
      <c r="P174" s="40"/>
      <c r="AG174" s="41"/>
      <c r="AH174" s="40"/>
      <c r="AM174" s="41"/>
    </row>
    <row r="175" spans="1:39" s="39" customFormat="1" x14ac:dyDescent="0.3">
      <c r="A175" s="38" t="s">
        <v>112</v>
      </c>
      <c r="B175" s="39" t="s">
        <v>113</v>
      </c>
      <c r="C175" s="39" t="s">
        <v>114</v>
      </c>
      <c r="D175" s="39" t="s">
        <v>11</v>
      </c>
      <c r="E175" s="39" t="s">
        <v>190</v>
      </c>
      <c r="F175" s="39" t="s">
        <v>175</v>
      </c>
      <c r="G175" s="39" t="s">
        <v>183</v>
      </c>
      <c r="P175" s="40"/>
      <c r="AG175" s="41"/>
      <c r="AH175" s="40"/>
      <c r="AM175" s="41"/>
    </row>
    <row r="176" spans="1:39" s="39" customFormat="1" x14ac:dyDescent="0.3">
      <c r="A176" s="38" t="s">
        <v>115</v>
      </c>
      <c r="B176" s="39" t="s">
        <v>116</v>
      </c>
      <c r="C176" s="39" t="s">
        <v>117</v>
      </c>
      <c r="D176" s="39" t="s">
        <v>2</v>
      </c>
      <c r="E176" s="39" t="s">
        <v>190</v>
      </c>
      <c r="F176" s="39" t="s">
        <v>175</v>
      </c>
      <c r="G176" s="39" t="s">
        <v>181</v>
      </c>
      <c r="P176" s="40"/>
      <c r="AG176" s="41"/>
      <c r="AH176" s="40"/>
      <c r="AM176" s="41"/>
    </row>
    <row r="177" spans="1:39" s="39" customFormat="1" x14ac:dyDescent="0.3">
      <c r="A177" s="38" t="s">
        <v>115</v>
      </c>
      <c r="B177" s="39" t="s">
        <v>116</v>
      </c>
      <c r="C177" s="39" t="s">
        <v>117</v>
      </c>
      <c r="D177" s="39" t="s">
        <v>3</v>
      </c>
      <c r="E177" s="39" t="s">
        <v>190</v>
      </c>
      <c r="F177" s="39" t="s">
        <v>175</v>
      </c>
      <c r="G177" s="39" t="s">
        <v>183</v>
      </c>
      <c r="P177" s="40"/>
      <c r="AG177" s="41"/>
      <c r="AH177" s="40"/>
      <c r="AM177" s="41"/>
    </row>
    <row r="178" spans="1:39" s="39" customFormat="1" x14ac:dyDescent="0.3">
      <c r="A178" s="38" t="s">
        <v>115</v>
      </c>
      <c r="B178" s="39" t="s">
        <v>116</v>
      </c>
      <c r="C178" s="39" t="s">
        <v>117</v>
      </c>
      <c r="D178" s="39" t="s">
        <v>4</v>
      </c>
      <c r="E178" s="39" t="s">
        <v>190</v>
      </c>
      <c r="F178" s="39" t="s">
        <v>175</v>
      </c>
      <c r="G178" s="39" t="s">
        <v>183</v>
      </c>
      <c r="P178" s="40"/>
      <c r="AG178" s="41"/>
      <c r="AH178" s="40"/>
      <c r="AM178" s="41"/>
    </row>
    <row r="179" spans="1:39" s="39" customFormat="1" x14ac:dyDescent="0.3">
      <c r="A179" s="38" t="s">
        <v>115</v>
      </c>
      <c r="B179" s="39" t="s">
        <v>116</v>
      </c>
      <c r="C179" s="39" t="s">
        <v>117</v>
      </c>
      <c r="D179" s="39" t="s">
        <v>5</v>
      </c>
      <c r="E179" s="39" t="s">
        <v>190</v>
      </c>
      <c r="F179" s="39" t="s">
        <v>175</v>
      </c>
      <c r="G179" s="39" t="s">
        <v>183</v>
      </c>
      <c r="P179" s="40"/>
      <c r="AG179" s="41"/>
      <c r="AH179" s="40"/>
      <c r="AM179" s="41"/>
    </row>
    <row r="180" spans="1:39" s="39" customFormat="1" x14ac:dyDescent="0.3">
      <c r="A180" s="38" t="s">
        <v>115</v>
      </c>
      <c r="B180" s="39" t="s">
        <v>116</v>
      </c>
      <c r="C180" s="39" t="s">
        <v>117</v>
      </c>
      <c r="D180" s="39" t="s">
        <v>6</v>
      </c>
      <c r="E180" s="39" t="s">
        <v>190</v>
      </c>
      <c r="F180" s="39" t="s">
        <v>175</v>
      </c>
      <c r="G180" s="39" t="s">
        <v>183</v>
      </c>
      <c r="P180" s="40"/>
      <c r="AG180" s="41"/>
      <c r="AH180" s="40"/>
      <c r="AM180" s="41"/>
    </row>
    <row r="181" spans="1:39" s="39" customFormat="1" x14ac:dyDescent="0.3">
      <c r="A181" s="38" t="s">
        <v>115</v>
      </c>
      <c r="B181" s="39" t="s">
        <v>116</v>
      </c>
      <c r="C181" s="39" t="s">
        <v>117</v>
      </c>
      <c r="D181" s="39" t="s">
        <v>7</v>
      </c>
      <c r="E181" s="39" t="s">
        <v>190</v>
      </c>
      <c r="F181" s="39" t="s">
        <v>175</v>
      </c>
      <c r="G181" s="39" t="s">
        <v>183</v>
      </c>
      <c r="P181" s="40"/>
      <c r="AG181" s="41"/>
      <c r="AH181" s="40"/>
      <c r="AM181" s="41"/>
    </row>
    <row r="182" spans="1:39" s="39" customFormat="1" x14ac:dyDescent="0.3">
      <c r="A182" s="38" t="s">
        <v>115</v>
      </c>
      <c r="B182" s="39" t="s">
        <v>116</v>
      </c>
      <c r="C182" s="39" t="s">
        <v>117</v>
      </c>
      <c r="D182" s="39" t="s">
        <v>8</v>
      </c>
      <c r="E182" s="39" t="s">
        <v>190</v>
      </c>
      <c r="F182" s="39" t="s">
        <v>175</v>
      </c>
      <c r="G182" s="39" t="s">
        <v>183</v>
      </c>
      <c r="P182" s="40"/>
      <c r="AG182" s="41"/>
      <c r="AH182" s="40"/>
      <c r="AM182" s="41"/>
    </row>
    <row r="183" spans="1:39" s="39" customFormat="1" x14ac:dyDescent="0.3">
      <c r="A183" s="38" t="s">
        <v>115</v>
      </c>
      <c r="B183" s="39" t="s">
        <v>116</v>
      </c>
      <c r="C183" s="39" t="s">
        <v>117</v>
      </c>
      <c r="D183" s="39" t="s">
        <v>9</v>
      </c>
      <c r="E183" s="39" t="s">
        <v>190</v>
      </c>
      <c r="F183" s="39" t="s">
        <v>175</v>
      </c>
      <c r="G183" s="39" t="s">
        <v>183</v>
      </c>
      <c r="P183" s="40"/>
      <c r="AG183" s="41"/>
      <c r="AH183" s="40"/>
      <c r="AM183" s="41"/>
    </row>
    <row r="184" spans="1:39" s="39" customFormat="1" x14ac:dyDescent="0.3">
      <c r="A184" s="38" t="s">
        <v>115</v>
      </c>
      <c r="B184" s="39" t="s">
        <v>116</v>
      </c>
      <c r="C184" s="39" t="s">
        <v>117</v>
      </c>
      <c r="D184" s="39" t="s">
        <v>10</v>
      </c>
      <c r="E184" s="39" t="s">
        <v>190</v>
      </c>
      <c r="F184" s="39" t="s">
        <v>175</v>
      </c>
      <c r="G184" s="39" t="s">
        <v>183</v>
      </c>
      <c r="P184" s="40"/>
      <c r="AG184" s="41"/>
      <c r="AH184" s="40"/>
      <c r="AM184" s="41"/>
    </row>
    <row r="185" spans="1:39" s="39" customFormat="1" x14ac:dyDescent="0.3">
      <c r="A185" s="38" t="s">
        <v>115</v>
      </c>
      <c r="B185" s="39" t="s">
        <v>116</v>
      </c>
      <c r="C185" s="39" t="s">
        <v>117</v>
      </c>
      <c r="D185" s="39" t="s">
        <v>11</v>
      </c>
      <c r="E185" s="39" t="s">
        <v>190</v>
      </c>
      <c r="F185" s="39" t="s">
        <v>175</v>
      </c>
      <c r="G185" s="39" t="s">
        <v>183</v>
      </c>
      <c r="P185" s="40"/>
      <c r="AG185" s="41"/>
      <c r="AH185" s="40"/>
      <c r="AM185" s="41"/>
    </row>
    <row r="186" spans="1:39" s="39" customFormat="1" x14ac:dyDescent="0.3">
      <c r="A186" s="38" t="s">
        <v>103</v>
      </c>
      <c r="B186" s="39" t="s">
        <v>122</v>
      </c>
      <c r="C186" s="39" t="s">
        <v>123</v>
      </c>
      <c r="D186" s="39" t="s">
        <v>2</v>
      </c>
      <c r="E186" s="39" t="s">
        <v>190</v>
      </c>
      <c r="F186" s="39" t="s">
        <v>175</v>
      </c>
      <c r="G186" s="39" t="s">
        <v>181</v>
      </c>
      <c r="P186" s="40"/>
      <c r="AG186" s="41"/>
      <c r="AH186" s="40"/>
      <c r="AM186" s="41"/>
    </row>
    <row r="187" spans="1:39" s="39" customFormat="1" x14ac:dyDescent="0.3">
      <c r="A187" s="38" t="s">
        <v>103</v>
      </c>
      <c r="B187" s="39" t="s">
        <v>122</v>
      </c>
      <c r="C187" s="39" t="s">
        <v>123</v>
      </c>
      <c r="D187" s="39" t="s">
        <v>3</v>
      </c>
      <c r="E187" s="39" t="s">
        <v>190</v>
      </c>
      <c r="F187" s="39" t="s">
        <v>175</v>
      </c>
      <c r="G187" s="39" t="s">
        <v>183</v>
      </c>
      <c r="P187" s="40"/>
      <c r="AG187" s="41"/>
      <c r="AH187" s="40"/>
      <c r="AM187" s="41"/>
    </row>
    <row r="188" spans="1:39" s="39" customFormat="1" x14ac:dyDescent="0.3">
      <c r="A188" s="38" t="s">
        <v>103</v>
      </c>
      <c r="B188" s="39" t="s">
        <v>122</v>
      </c>
      <c r="C188" s="39" t="s">
        <v>123</v>
      </c>
      <c r="D188" s="39" t="s">
        <v>4</v>
      </c>
      <c r="E188" s="39" t="s">
        <v>190</v>
      </c>
      <c r="F188" s="39" t="s">
        <v>175</v>
      </c>
      <c r="G188" s="39" t="s">
        <v>183</v>
      </c>
      <c r="P188" s="40"/>
      <c r="AG188" s="41"/>
      <c r="AH188" s="40"/>
      <c r="AM188" s="41"/>
    </row>
    <row r="189" spans="1:39" s="39" customFormat="1" x14ac:dyDescent="0.3">
      <c r="A189" s="38" t="s">
        <v>103</v>
      </c>
      <c r="B189" s="39" t="s">
        <v>122</v>
      </c>
      <c r="C189" s="39" t="s">
        <v>123</v>
      </c>
      <c r="D189" s="39" t="s">
        <v>5</v>
      </c>
      <c r="E189" s="39" t="s">
        <v>190</v>
      </c>
      <c r="F189" s="39" t="s">
        <v>175</v>
      </c>
      <c r="G189" s="39" t="s">
        <v>183</v>
      </c>
      <c r="P189" s="40"/>
      <c r="AG189" s="41"/>
      <c r="AH189" s="40"/>
      <c r="AM189" s="41"/>
    </row>
    <row r="190" spans="1:39" s="39" customFormat="1" x14ac:dyDescent="0.3">
      <c r="A190" s="38" t="s">
        <v>103</v>
      </c>
      <c r="B190" s="39" t="s">
        <v>122</v>
      </c>
      <c r="C190" s="39" t="s">
        <v>123</v>
      </c>
      <c r="D190" s="39" t="s">
        <v>6</v>
      </c>
      <c r="E190" s="39" t="s">
        <v>190</v>
      </c>
      <c r="F190" s="39" t="s">
        <v>175</v>
      </c>
      <c r="G190" s="39" t="s">
        <v>183</v>
      </c>
      <c r="P190" s="40"/>
      <c r="AG190" s="41"/>
      <c r="AH190" s="40"/>
      <c r="AM190" s="41"/>
    </row>
    <row r="191" spans="1:39" s="39" customFormat="1" x14ac:dyDescent="0.3">
      <c r="A191" s="38" t="s">
        <v>103</v>
      </c>
      <c r="B191" s="39" t="s">
        <v>122</v>
      </c>
      <c r="C191" s="39" t="s">
        <v>123</v>
      </c>
      <c r="D191" s="39" t="s">
        <v>7</v>
      </c>
      <c r="E191" s="39" t="s">
        <v>190</v>
      </c>
      <c r="F191" s="39" t="s">
        <v>175</v>
      </c>
      <c r="G191" s="39" t="s">
        <v>181</v>
      </c>
      <c r="P191" s="40"/>
      <c r="AG191" s="41"/>
      <c r="AH191" s="40"/>
      <c r="AM191" s="41"/>
    </row>
    <row r="192" spans="1:39" s="39" customFormat="1" x14ac:dyDescent="0.3">
      <c r="A192" s="38" t="s">
        <v>103</v>
      </c>
      <c r="B192" s="39" t="s">
        <v>122</v>
      </c>
      <c r="C192" s="39" t="s">
        <v>123</v>
      </c>
      <c r="D192" s="39" t="s">
        <v>8</v>
      </c>
      <c r="E192" s="39" t="s">
        <v>190</v>
      </c>
      <c r="F192" s="39" t="s">
        <v>175</v>
      </c>
      <c r="G192" s="39" t="s">
        <v>181</v>
      </c>
      <c r="P192" s="40"/>
      <c r="AG192" s="41"/>
      <c r="AH192" s="40"/>
      <c r="AM192" s="41"/>
    </row>
    <row r="193" spans="1:39" s="39" customFormat="1" x14ac:dyDescent="0.3">
      <c r="A193" s="38" t="s">
        <v>103</v>
      </c>
      <c r="B193" s="39" t="s">
        <v>122</v>
      </c>
      <c r="C193" s="39" t="s">
        <v>123</v>
      </c>
      <c r="D193" s="39" t="s">
        <v>9</v>
      </c>
      <c r="E193" s="39" t="s">
        <v>190</v>
      </c>
      <c r="F193" s="39" t="s">
        <v>175</v>
      </c>
      <c r="G193" s="39" t="s">
        <v>183</v>
      </c>
      <c r="P193" s="40"/>
      <c r="AG193" s="41"/>
      <c r="AH193" s="40"/>
      <c r="AM193" s="41"/>
    </row>
    <row r="194" spans="1:39" s="39" customFormat="1" x14ac:dyDescent="0.3">
      <c r="A194" s="38" t="s">
        <v>103</v>
      </c>
      <c r="B194" s="39" t="s">
        <v>122</v>
      </c>
      <c r="C194" s="39" t="s">
        <v>123</v>
      </c>
      <c r="D194" s="39" t="s">
        <v>10</v>
      </c>
      <c r="E194" s="39" t="s">
        <v>190</v>
      </c>
      <c r="F194" s="39" t="s">
        <v>175</v>
      </c>
      <c r="G194" s="39" t="s">
        <v>183</v>
      </c>
      <c r="P194" s="40"/>
      <c r="AG194" s="41"/>
      <c r="AH194" s="40"/>
      <c r="AM194" s="41"/>
    </row>
    <row r="195" spans="1:39" s="39" customFormat="1" x14ac:dyDescent="0.3">
      <c r="A195" s="38" t="s">
        <v>103</v>
      </c>
      <c r="B195" s="39" t="s">
        <v>122</v>
      </c>
      <c r="C195" s="39" t="s">
        <v>123</v>
      </c>
      <c r="D195" s="39" t="s">
        <v>11</v>
      </c>
      <c r="E195" s="39" t="s">
        <v>190</v>
      </c>
      <c r="F195" s="39" t="s">
        <v>175</v>
      </c>
      <c r="G195" s="39" t="s">
        <v>183</v>
      </c>
      <c r="P195" s="40"/>
      <c r="AG195" s="41"/>
      <c r="AH195" s="40"/>
      <c r="AM195" s="41"/>
    </row>
    <row r="196" spans="1:39" s="39" customFormat="1" x14ac:dyDescent="0.3">
      <c r="A196" s="38" t="s">
        <v>124</v>
      </c>
      <c r="B196" s="39" t="s">
        <v>125</v>
      </c>
      <c r="C196" s="39" t="s">
        <v>126</v>
      </c>
      <c r="D196" s="39" t="s">
        <v>2</v>
      </c>
      <c r="E196" s="39" t="s">
        <v>190</v>
      </c>
      <c r="F196" s="39" t="s">
        <v>175</v>
      </c>
      <c r="G196" s="39" t="s">
        <v>181</v>
      </c>
      <c r="P196" s="40"/>
      <c r="AG196" s="41"/>
      <c r="AH196" s="40"/>
      <c r="AM196" s="41"/>
    </row>
    <row r="197" spans="1:39" s="39" customFormat="1" x14ac:dyDescent="0.3">
      <c r="A197" s="38" t="s">
        <v>124</v>
      </c>
      <c r="B197" s="39" t="s">
        <v>125</v>
      </c>
      <c r="C197" s="39" t="s">
        <v>126</v>
      </c>
      <c r="D197" s="39" t="s">
        <v>3</v>
      </c>
      <c r="E197" s="39" t="s">
        <v>190</v>
      </c>
      <c r="F197" s="39" t="s">
        <v>175</v>
      </c>
      <c r="G197" s="39" t="s">
        <v>183</v>
      </c>
      <c r="P197" s="40"/>
      <c r="AG197" s="41"/>
      <c r="AH197" s="40"/>
      <c r="AM197" s="41"/>
    </row>
    <row r="198" spans="1:39" s="39" customFormat="1" x14ac:dyDescent="0.3">
      <c r="A198" s="38" t="s">
        <v>124</v>
      </c>
      <c r="B198" s="39" t="s">
        <v>125</v>
      </c>
      <c r="C198" s="39" t="s">
        <v>126</v>
      </c>
      <c r="D198" s="39" t="s">
        <v>4</v>
      </c>
      <c r="E198" s="39" t="s">
        <v>190</v>
      </c>
      <c r="F198" s="39" t="s">
        <v>175</v>
      </c>
      <c r="G198" s="39" t="s">
        <v>183</v>
      </c>
      <c r="P198" s="40"/>
      <c r="AG198" s="41"/>
      <c r="AH198" s="40"/>
      <c r="AM198" s="41"/>
    </row>
    <row r="199" spans="1:39" s="39" customFormat="1" x14ac:dyDescent="0.3">
      <c r="A199" s="38" t="s">
        <v>124</v>
      </c>
      <c r="B199" s="39" t="s">
        <v>125</v>
      </c>
      <c r="C199" s="39" t="s">
        <v>126</v>
      </c>
      <c r="D199" s="39" t="s">
        <v>5</v>
      </c>
      <c r="E199" s="39" t="s">
        <v>190</v>
      </c>
      <c r="F199" s="39" t="s">
        <v>175</v>
      </c>
      <c r="G199" s="39" t="s">
        <v>183</v>
      </c>
      <c r="P199" s="40"/>
      <c r="AG199" s="41"/>
      <c r="AH199" s="40"/>
      <c r="AM199" s="41"/>
    </row>
    <row r="200" spans="1:39" s="39" customFormat="1" x14ac:dyDescent="0.3">
      <c r="A200" s="38" t="s">
        <v>124</v>
      </c>
      <c r="B200" s="39" t="s">
        <v>125</v>
      </c>
      <c r="C200" s="39" t="s">
        <v>126</v>
      </c>
      <c r="D200" s="39" t="s">
        <v>6</v>
      </c>
      <c r="E200" s="39" t="s">
        <v>190</v>
      </c>
      <c r="F200" s="39" t="s">
        <v>175</v>
      </c>
      <c r="G200" s="39" t="s">
        <v>183</v>
      </c>
      <c r="P200" s="40"/>
      <c r="AG200" s="41"/>
      <c r="AH200" s="40"/>
      <c r="AM200" s="41"/>
    </row>
    <row r="201" spans="1:39" s="39" customFormat="1" x14ac:dyDescent="0.3">
      <c r="A201" s="38" t="s">
        <v>124</v>
      </c>
      <c r="B201" s="39" t="s">
        <v>125</v>
      </c>
      <c r="C201" s="39" t="s">
        <v>126</v>
      </c>
      <c r="D201" s="39" t="s">
        <v>7</v>
      </c>
      <c r="E201" s="39" t="s">
        <v>190</v>
      </c>
      <c r="F201" s="39" t="s">
        <v>175</v>
      </c>
      <c r="G201" s="39" t="s">
        <v>183</v>
      </c>
      <c r="P201" s="40"/>
      <c r="AG201" s="41"/>
      <c r="AH201" s="40"/>
      <c r="AM201" s="41"/>
    </row>
    <row r="202" spans="1:39" s="39" customFormat="1" x14ac:dyDescent="0.3">
      <c r="A202" s="38" t="s">
        <v>124</v>
      </c>
      <c r="B202" s="39" t="s">
        <v>125</v>
      </c>
      <c r="C202" s="39" t="s">
        <v>126</v>
      </c>
      <c r="D202" s="39" t="s">
        <v>8</v>
      </c>
      <c r="E202" s="39" t="s">
        <v>190</v>
      </c>
      <c r="F202" s="39" t="s">
        <v>175</v>
      </c>
      <c r="G202" s="39" t="s">
        <v>183</v>
      </c>
      <c r="P202" s="40"/>
      <c r="AG202" s="41"/>
      <c r="AH202" s="40"/>
      <c r="AM202" s="41"/>
    </row>
    <row r="203" spans="1:39" s="39" customFormat="1" x14ac:dyDescent="0.3">
      <c r="A203" s="38" t="s">
        <v>124</v>
      </c>
      <c r="B203" s="39" t="s">
        <v>125</v>
      </c>
      <c r="C203" s="39" t="s">
        <v>126</v>
      </c>
      <c r="D203" s="39" t="s">
        <v>9</v>
      </c>
      <c r="E203" s="39" t="s">
        <v>190</v>
      </c>
      <c r="F203" s="39" t="s">
        <v>175</v>
      </c>
      <c r="G203" s="39" t="s">
        <v>183</v>
      </c>
      <c r="P203" s="40"/>
      <c r="AG203" s="41"/>
      <c r="AH203" s="40"/>
      <c r="AM203" s="41"/>
    </row>
    <row r="204" spans="1:39" s="39" customFormat="1" x14ac:dyDescent="0.3">
      <c r="A204" s="38" t="s">
        <v>124</v>
      </c>
      <c r="B204" s="39" t="s">
        <v>125</v>
      </c>
      <c r="C204" s="39" t="s">
        <v>126</v>
      </c>
      <c r="D204" s="39" t="s">
        <v>10</v>
      </c>
      <c r="E204" s="39" t="s">
        <v>190</v>
      </c>
      <c r="F204" s="39" t="s">
        <v>175</v>
      </c>
      <c r="G204" s="39" t="s">
        <v>183</v>
      </c>
      <c r="P204" s="40"/>
      <c r="AG204" s="41"/>
      <c r="AH204" s="40"/>
      <c r="AM204" s="41"/>
    </row>
    <row r="205" spans="1:39" s="39" customFormat="1" x14ac:dyDescent="0.3">
      <c r="A205" s="38" t="s">
        <v>124</v>
      </c>
      <c r="B205" s="39" t="s">
        <v>125</v>
      </c>
      <c r="C205" s="39" t="s">
        <v>126</v>
      </c>
      <c r="D205" s="39" t="s">
        <v>11</v>
      </c>
      <c r="E205" s="39" t="s">
        <v>190</v>
      </c>
      <c r="F205" s="39" t="s">
        <v>175</v>
      </c>
      <c r="G205" s="39" t="s">
        <v>183</v>
      </c>
      <c r="P205" s="40"/>
      <c r="AG205" s="41"/>
      <c r="AH205" s="40"/>
      <c r="AM205" s="41"/>
    </row>
    <row r="206" spans="1:39" s="39" customFormat="1" x14ac:dyDescent="0.3">
      <c r="A206" s="38" t="s">
        <v>127</v>
      </c>
      <c r="B206" s="39" t="s">
        <v>128</v>
      </c>
      <c r="C206" s="39" t="s">
        <v>129</v>
      </c>
      <c r="D206" s="39" t="s">
        <v>2</v>
      </c>
      <c r="E206" s="39" t="s">
        <v>191</v>
      </c>
      <c r="F206" s="39" t="s">
        <v>175</v>
      </c>
      <c r="G206" s="39" t="s">
        <v>181</v>
      </c>
      <c r="P206" s="40"/>
      <c r="AG206" s="41"/>
      <c r="AH206" s="40"/>
      <c r="AM206" s="41"/>
    </row>
    <row r="207" spans="1:39" s="39" customFormat="1" x14ac:dyDescent="0.3">
      <c r="A207" s="38" t="s">
        <v>127</v>
      </c>
      <c r="B207" s="39" t="s">
        <v>128</v>
      </c>
      <c r="C207" s="39" t="s">
        <v>129</v>
      </c>
      <c r="D207" s="39" t="s">
        <v>3</v>
      </c>
      <c r="E207" s="39" t="s">
        <v>191</v>
      </c>
      <c r="F207" s="39" t="s">
        <v>175</v>
      </c>
      <c r="G207" s="39" t="s">
        <v>183</v>
      </c>
      <c r="P207" s="40"/>
      <c r="AG207" s="41"/>
      <c r="AH207" s="40"/>
      <c r="AM207" s="41"/>
    </row>
    <row r="208" spans="1:39" s="39" customFormat="1" x14ac:dyDescent="0.3">
      <c r="A208" s="38" t="s">
        <v>127</v>
      </c>
      <c r="B208" s="39" t="s">
        <v>128</v>
      </c>
      <c r="C208" s="39" t="s">
        <v>129</v>
      </c>
      <c r="D208" s="39" t="s">
        <v>4</v>
      </c>
      <c r="E208" s="39" t="s">
        <v>191</v>
      </c>
      <c r="F208" s="39" t="s">
        <v>175</v>
      </c>
      <c r="G208" s="39" t="s">
        <v>183</v>
      </c>
      <c r="P208" s="40"/>
      <c r="AG208" s="41"/>
      <c r="AH208" s="40"/>
      <c r="AM208" s="41"/>
    </row>
    <row r="209" spans="1:39" s="39" customFormat="1" x14ac:dyDescent="0.3">
      <c r="A209" s="38" t="s">
        <v>127</v>
      </c>
      <c r="B209" s="39" t="s">
        <v>128</v>
      </c>
      <c r="C209" s="39" t="s">
        <v>129</v>
      </c>
      <c r="D209" s="39" t="s">
        <v>5</v>
      </c>
      <c r="E209" s="39" t="s">
        <v>191</v>
      </c>
      <c r="F209" s="39" t="s">
        <v>192</v>
      </c>
      <c r="G209" s="39" t="s">
        <v>183</v>
      </c>
      <c r="P209" s="40"/>
      <c r="AG209" s="41"/>
      <c r="AH209" s="40"/>
      <c r="AM209" s="41"/>
    </row>
    <row r="210" spans="1:39" s="39" customFormat="1" x14ac:dyDescent="0.3">
      <c r="A210" s="38" t="s">
        <v>127</v>
      </c>
      <c r="B210" s="39" t="s">
        <v>128</v>
      </c>
      <c r="C210" s="39" t="s">
        <v>129</v>
      </c>
      <c r="D210" s="39" t="s">
        <v>6</v>
      </c>
      <c r="E210" s="39" t="s">
        <v>191</v>
      </c>
      <c r="F210" s="39" t="s">
        <v>175</v>
      </c>
      <c r="G210" s="39" t="s">
        <v>183</v>
      </c>
      <c r="P210" s="40"/>
      <c r="AG210" s="41"/>
      <c r="AH210" s="40"/>
      <c r="AM210" s="41"/>
    </row>
    <row r="211" spans="1:39" s="39" customFormat="1" x14ac:dyDescent="0.3">
      <c r="A211" s="38" t="s">
        <v>127</v>
      </c>
      <c r="B211" s="39" t="s">
        <v>128</v>
      </c>
      <c r="C211" s="39" t="s">
        <v>129</v>
      </c>
      <c r="D211" s="39" t="s">
        <v>7</v>
      </c>
      <c r="E211" s="39" t="s">
        <v>191</v>
      </c>
      <c r="F211" s="39" t="s">
        <v>175</v>
      </c>
      <c r="G211" s="39" t="s">
        <v>181</v>
      </c>
      <c r="P211" s="40"/>
      <c r="AG211" s="41"/>
      <c r="AH211" s="40"/>
      <c r="AM211" s="41"/>
    </row>
    <row r="212" spans="1:39" s="39" customFormat="1" x14ac:dyDescent="0.3">
      <c r="A212" s="38" t="s">
        <v>127</v>
      </c>
      <c r="B212" s="39" t="s">
        <v>128</v>
      </c>
      <c r="C212" s="39" t="s">
        <v>129</v>
      </c>
      <c r="D212" s="39" t="s">
        <v>8</v>
      </c>
      <c r="E212" s="39" t="s">
        <v>191</v>
      </c>
      <c r="F212" s="39" t="s">
        <v>175</v>
      </c>
      <c r="G212" s="39" t="s">
        <v>181</v>
      </c>
      <c r="P212" s="40"/>
      <c r="AG212" s="41"/>
      <c r="AH212" s="40"/>
      <c r="AM212" s="41"/>
    </row>
    <row r="213" spans="1:39" s="39" customFormat="1" x14ac:dyDescent="0.3">
      <c r="A213" s="38" t="s">
        <v>127</v>
      </c>
      <c r="B213" s="39" t="s">
        <v>128</v>
      </c>
      <c r="C213" s="39" t="s">
        <v>129</v>
      </c>
      <c r="D213" s="39" t="s">
        <v>9</v>
      </c>
      <c r="E213" s="39" t="s">
        <v>191</v>
      </c>
      <c r="F213" s="39" t="s">
        <v>175</v>
      </c>
      <c r="G213" s="39" t="s">
        <v>183</v>
      </c>
      <c r="P213" s="40"/>
      <c r="AG213" s="41"/>
      <c r="AH213" s="40"/>
      <c r="AM213" s="41"/>
    </row>
    <row r="214" spans="1:39" s="39" customFormat="1" x14ac:dyDescent="0.3">
      <c r="A214" s="38" t="s">
        <v>127</v>
      </c>
      <c r="B214" s="39" t="s">
        <v>128</v>
      </c>
      <c r="C214" s="39" t="s">
        <v>129</v>
      </c>
      <c r="D214" s="39" t="s">
        <v>10</v>
      </c>
      <c r="E214" s="39" t="s">
        <v>191</v>
      </c>
      <c r="F214" s="39" t="s">
        <v>175</v>
      </c>
      <c r="G214" s="39" t="s">
        <v>183</v>
      </c>
      <c r="P214" s="40"/>
      <c r="AG214" s="41"/>
      <c r="AH214" s="40"/>
      <c r="AM214" s="41"/>
    </row>
    <row r="215" spans="1:39" s="39" customFormat="1" x14ac:dyDescent="0.3">
      <c r="A215" s="38" t="s">
        <v>127</v>
      </c>
      <c r="B215" s="39" t="s">
        <v>128</v>
      </c>
      <c r="C215" s="39" t="s">
        <v>129</v>
      </c>
      <c r="D215" s="39" t="s">
        <v>11</v>
      </c>
      <c r="E215" s="39" t="s">
        <v>191</v>
      </c>
      <c r="F215" s="39" t="s">
        <v>175</v>
      </c>
      <c r="G215" s="39" t="s">
        <v>183</v>
      </c>
      <c r="P215" s="40"/>
      <c r="AG215" s="41"/>
      <c r="AH215" s="40"/>
      <c r="AM215" s="41"/>
    </row>
    <row r="216" spans="1:39" s="39" customFormat="1" x14ac:dyDescent="0.3">
      <c r="A216" s="38" t="s">
        <v>118</v>
      </c>
      <c r="B216" s="39" t="s">
        <v>119</v>
      </c>
      <c r="C216" s="39" t="s">
        <v>120</v>
      </c>
      <c r="D216" s="39" t="s">
        <v>2</v>
      </c>
      <c r="E216" s="39" t="s">
        <v>193</v>
      </c>
      <c r="F216" s="39" t="s">
        <v>121</v>
      </c>
      <c r="G216" s="39" t="s">
        <v>181</v>
      </c>
      <c r="P216" s="40"/>
      <c r="AG216" s="41"/>
      <c r="AH216" s="40"/>
      <c r="AM216" s="41"/>
    </row>
    <row r="217" spans="1:39" x14ac:dyDescent="0.3">
      <c r="A217" s="4" t="s">
        <v>118</v>
      </c>
      <c r="B217" s="2" t="s">
        <v>119</v>
      </c>
      <c r="C217" s="2" t="s">
        <v>120</v>
      </c>
      <c r="D217" s="2" t="s">
        <v>5</v>
      </c>
      <c r="E217" s="2" t="s">
        <v>193</v>
      </c>
      <c r="F217" s="2" t="s">
        <v>121</v>
      </c>
      <c r="G217" s="2" t="s">
        <v>181</v>
      </c>
    </row>
    <row r="218" spans="1:39" x14ac:dyDescent="0.3">
      <c r="A218" s="4" t="s">
        <v>118</v>
      </c>
      <c r="B218" s="2" t="s">
        <v>188</v>
      </c>
      <c r="C218" s="2" t="s">
        <v>189</v>
      </c>
      <c r="D218" s="2" t="s">
        <v>2</v>
      </c>
      <c r="E218" s="2" t="s">
        <v>193</v>
      </c>
      <c r="F218" s="2" t="s">
        <v>121</v>
      </c>
      <c r="G218" s="2" t="s">
        <v>181</v>
      </c>
    </row>
    <row r="219" spans="1:39" x14ac:dyDescent="0.3">
      <c r="A219" s="4" t="s">
        <v>118</v>
      </c>
      <c r="B219" s="2" t="s">
        <v>188</v>
      </c>
      <c r="C219" s="2" t="s">
        <v>189</v>
      </c>
      <c r="D219" s="2" t="s">
        <v>5</v>
      </c>
      <c r="E219" s="2" t="s">
        <v>193</v>
      </c>
      <c r="F219" s="2" t="s">
        <v>121</v>
      </c>
      <c r="G219" s="2" t="s">
        <v>181</v>
      </c>
    </row>
    <row r="220" spans="1:39" x14ac:dyDescent="0.3">
      <c r="A220" s="4" t="s">
        <v>130</v>
      </c>
      <c r="B220" s="2" t="s">
        <v>131</v>
      </c>
      <c r="C220" s="2" t="s">
        <v>132</v>
      </c>
      <c r="D220" s="2" t="s">
        <v>2</v>
      </c>
      <c r="E220" s="2" t="s">
        <v>190</v>
      </c>
      <c r="F220" s="2" t="s">
        <v>133</v>
      </c>
      <c r="G220" s="2" t="s">
        <v>181</v>
      </c>
    </row>
    <row r="221" spans="1:39" x14ac:dyDescent="0.3">
      <c r="A221" s="4" t="s">
        <v>130</v>
      </c>
      <c r="B221" s="2" t="s">
        <v>131</v>
      </c>
      <c r="C221" s="2" t="s">
        <v>132</v>
      </c>
      <c r="D221" s="2" t="s">
        <v>12</v>
      </c>
      <c r="E221" s="2" t="s">
        <v>190</v>
      </c>
      <c r="F221" s="2" t="s">
        <v>133</v>
      </c>
      <c r="G221" s="2" t="s">
        <v>183</v>
      </c>
    </row>
    <row r="222" spans="1:39" x14ac:dyDescent="0.3">
      <c r="A222" s="4" t="s">
        <v>134</v>
      </c>
      <c r="B222" s="2" t="s">
        <v>135</v>
      </c>
      <c r="C222" s="2" t="s">
        <v>136</v>
      </c>
      <c r="D222" s="2" t="s">
        <v>2</v>
      </c>
      <c r="E222" s="2" t="s">
        <v>190</v>
      </c>
      <c r="F222" s="2" t="s">
        <v>133</v>
      </c>
      <c r="G222" s="2" t="s">
        <v>181</v>
      </c>
    </row>
    <row r="223" spans="1:39" x14ac:dyDescent="0.3">
      <c r="A223" s="4" t="s">
        <v>134</v>
      </c>
      <c r="B223" s="2" t="s">
        <v>135</v>
      </c>
      <c r="C223" s="2" t="s">
        <v>136</v>
      </c>
      <c r="D223" s="2" t="s">
        <v>12</v>
      </c>
      <c r="E223" s="2" t="s">
        <v>190</v>
      </c>
      <c r="F223" s="2" t="s">
        <v>133</v>
      </c>
      <c r="G223" s="2" t="s">
        <v>183</v>
      </c>
    </row>
    <row r="224" spans="1:39" x14ac:dyDescent="0.3">
      <c r="A224" s="4" t="s">
        <v>115</v>
      </c>
      <c r="B224" s="2" t="s">
        <v>137</v>
      </c>
      <c r="C224" s="2" t="s">
        <v>138</v>
      </c>
      <c r="D224" s="2" t="s">
        <v>12</v>
      </c>
      <c r="E224" s="2" t="s">
        <v>190</v>
      </c>
      <c r="F224" s="2" t="s">
        <v>133</v>
      </c>
      <c r="G224" s="2" t="s">
        <v>183</v>
      </c>
    </row>
    <row r="225" spans="1:7" x14ac:dyDescent="0.3">
      <c r="A225" s="4" t="s">
        <v>139</v>
      </c>
      <c r="B225" s="2" t="s">
        <v>140</v>
      </c>
      <c r="C225" s="2" t="s">
        <v>141</v>
      </c>
      <c r="D225" s="2" t="s">
        <v>2</v>
      </c>
      <c r="E225" s="2" t="s">
        <v>190</v>
      </c>
      <c r="F225" s="2" t="s">
        <v>133</v>
      </c>
      <c r="G225" s="2" t="s">
        <v>181</v>
      </c>
    </row>
    <row r="226" spans="1:7" x14ac:dyDescent="0.3">
      <c r="A226" s="4" t="s">
        <v>139</v>
      </c>
      <c r="B226" s="2" t="s">
        <v>140</v>
      </c>
      <c r="C226" s="2" t="s">
        <v>141</v>
      </c>
      <c r="D226" s="2" t="s">
        <v>12</v>
      </c>
      <c r="E226" s="2" t="s">
        <v>190</v>
      </c>
      <c r="F226" s="2" t="s">
        <v>133</v>
      </c>
      <c r="G226" s="2" t="s">
        <v>183</v>
      </c>
    </row>
    <row r="227" spans="1:7" x14ac:dyDescent="0.3">
      <c r="A227" s="4" t="s">
        <v>142</v>
      </c>
      <c r="B227" s="2" t="s">
        <v>143</v>
      </c>
      <c r="C227" s="2" t="s">
        <v>144</v>
      </c>
      <c r="D227" s="2" t="s">
        <v>2</v>
      </c>
      <c r="E227" s="2" t="s">
        <v>190</v>
      </c>
      <c r="F227" s="2" t="s">
        <v>133</v>
      </c>
      <c r="G227" s="2" t="s">
        <v>181</v>
      </c>
    </row>
    <row r="228" spans="1:7" x14ac:dyDescent="0.3">
      <c r="A228" s="4" t="s">
        <v>142</v>
      </c>
      <c r="B228" s="2" t="s">
        <v>143</v>
      </c>
      <c r="C228" s="2" t="s">
        <v>144</v>
      </c>
      <c r="D228" s="2" t="s">
        <v>12</v>
      </c>
      <c r="E228" s="2" t="s">
        <v>190</v>
      </c>
      <c r="F228" s="2" t="s">
        <v>133</v>
      </c>
      <c r="G228" s="2" t="s">
        <v>183</v>
      </c>
    </row>
    <row r="229" spans="1:7" x14ac:dyDescent="0.3">
      <c r="A229" s="4" t="s">
        <v>145</v>
      </c>
      <c r="B229" s="2" t="s">
        <v>146</v>
      </c>
      <c r="C229" s="2" t="s">
        <v>147</v>
      </c>
      <c r="D229" s="2" t="s">
        <v>2</v>
      </c>
      <c r="E229" s="2" t="s">
        <v>190</v>
      </c>
      <c r="F229" s="2" t="s">
        <v>133</v>
      </c>
      <c r="G229" s="2" t="s">
        <v>181</v>
      </c>
    </row>
    <row r="230" spans="1:7" x14ac:dyDescent="0.3">
      <c r="A230" s="4" t="s">
        <v>145</v>
      </c>
      <c r="B230" s="2" t="s">
        <v>146</v>
      </c>
      <c r="C230" s="2" t="s">
        <v>147</v>
      </c>
      <c r="D230" s="2" t="s">
        <v>12</v>
      </c>
      <c r="E230" s="2" t="s">
        <v>190</v>
      </c>
      <c r="F230" s="2" t="s">
        <v>133</v>
      </c>
      <c r="G230" s="2" t="s">
        <v>183</v>
      </c>
    </row>
    <row r="231" spans="1:7" x14ac:dyDescent="0.3">
      <c r="A231" s="4" t="s">
        <v>148</v>
      </c>
      <c r="B231" s="2" t="s">
        <v>149</v>
      </c>
      <c r="C231" s="2" t="s">
        <v>150</v>
      </c>
      <c r="D231" s="2" t="s">
        <v>2</v>
      </c>
      <c r="E231" s="2" t="s">
        <v>190</v>
      </c>
      <c r="F231" s="2" t="s">
        <v>133</v>
      </c>
      <c r="G231" s="2" t="s">
        <v>181</v>
      </c>
    </row>
    <row r="232" spans="1:7" x14ac:dyDescent="0.3">
      <c r="A232" s="4" t="s">
        <v>148</v>
      </c>
      <c r="B232" s="2" t="s">
        <v>149</v>
      </c>
      <c r="C232" s="2" t="s">
        <v>150</v>
      </c>
      <c r="D232" s="2" t="s">
        <v>12</v>
      </c>
      <c r="E232" s="2" t="s">
        <v>190</v>
      </c>
      <c r="F232" s="2" t="s">
        <v>133</v>
      </c>
      <c r="G232" s="2" t="s">
        <v>183</v>
      </c>
    </row>
    <row r="233" spans="1:7" x14ac:dyDescent="0.3">
      <c r="A233" s="4" t="s">
        <v>151</v>
      </c>
      <c r="B233" s="2" t="s">
        <v>152</v>
      </c>
      <c r="C233" s="2" t="s">
        <v>153</v>
      </c>
      <c r="D233" s="2" t="s">
        <v>2</v>
      </c>
      <c r="E233" s="2" t="s">
        <v>190</v>
      </c>
      <c r="F233" s="2" t="s">
        <v>133</v>
      </c>
      <c r="G233" s="2" t="s">
        <v>181</v>
      </c>
    </row>
    <row r="234" spans="1:7" x14ac:dyDescent="0.3">
      <c r="A234" s="4" t="s">
        <v>151</v>
      </c>
      <c r="B234" s="2" t="s">
        <v>152</v>
      </c>
      <c r="C234" s="2" t="s">
        <v>153</v>
      </c>
      <c r="D234" s="2" t="s">
        <v>12</v>
      </c>
      <c r="E234" s="2" t="s">
        <v>190</v>
      </c>
      <c r="F234" s="2" t="s">
        <v>133</v>
      </c>
      <c r="G234" s="2" t="s">
        <v>183</v>
      </c>
    </row>
    <row r="235" spans="1:7" x14ac:dyDescent="0.3">
      <c r="A235" s="4" t="s">
        <v>154</v>
      </c>
      <c r="B235" s="2" t="s">
        <v>155</v>
      </c>
      <c r="C235" s="2" t="s">
        <v>156</v>
      </c>
      <c r="D235" s="2" t="s">
        <v>2</v>
      </c>
      <c r="E235" s="2" t="s">
        <v>190</v>
      </c>
      <c r="F235" s="2" t="s">
        <v>133</v>
      </c>
      <c r="G235" s="2" t="s">
        <v>181</v>
      </c>
    </row>
    <row r="236" spans="1:7" x14ac:dyDescent="0.3">
      <c r="A236" s="4" t="s">
        <v>154</v>
      </c>
      <c r="B236" s="2" t="s">
        <v>155</v>
      </c>
      <c r="C236" s="2" t="s">
        <v>156</v>
      </c>
      <c r="D236" s="2" t="s">
        <v>12</v>
      </c>
      <c r="E236" s="2" t="s">
        <v>190</v>
      </c>
      <c r="F236" s="2" t="s">
        <v>133</v>
      </c>
      <c r="G236" s="2" t="s">
        <v>183</v>
      </c>
    </row>
    <row r="237" spans="1:7" x14ac:dyDescent="0.3">
      <c r="A237" s="4" t="s">
        <v>157</v>
      </c>
      <c r="B237" s="2" t="s">
        <v>158</v>
      </c>
      <c r="C237" s="2" t="s">
        <v>159</v>
      </c>
      <c r="D237" s="2" t="s">
        <v>2</v>
      </c>
      <c r="E237" s="2" t="s">
        <v>190</v>
      </c>
      <c r="F237" s="2" t="s">
        <v>133</v>
      </c>
      <c r="G237" s="2" t="s">
        <v>181</v>
      </c>
    </row>
    <row r="238" spans="1:7" x14ac:dyDescent="0.3">
      <c r="A238" s="4" t="s">
        <v>157</v>
      </c>
      <c r="B238" s="2" t="s">
        <v>158</v>
      </c>
      <c r="C238" s="2" t="s">
        <v>159</v>
      </c>
      <c r="D238" s="2" t="s">
        <v>12</v>
      </c>
      <c r="E238" s="2" t="s">
        <v>190</v>
      </c>
      <c r="F238" s="2" t="s">
        <v>133</v>
      </c>
      <c r="G238" s="2" t="s">
        <v>183</v>
      </c>
    </row>
    <row r="239" spans="1:7" x14ac:dyDescent="0.3">
      <c r="A239" s="4" t="s">
        <v>160</v>
      </c>
      <c r="B239" s="2" t="s">
        <v>161</v>
      </c>
      <c r="C239" s="2" t="s">
        <v>162</v>
      </c>
      <c r="D239" s="2" t="s">
        <v>2</v>
      </c>
      <c r="E239" s="2" t="s">
        <v>190</v>
      </c>
      <c r="F239" s="2" t="s">
        <v>133</v>
      </c>
      <c r="G239" s="2" t="s">
        <v>181</v>
      </c>
    </row>
    <row r="240" spans="1:7" x14ac:dyDescent="0.3">
      <c r="A240" s="4" t="s">
        <v>160</v>
      </c>
      <c r="B240" s="2" t="s">
        <v>161</v>
      </c>
      <c r="C240" s="2" t="s">
        <v>162</v>
      </c>
      <c r="D240" s="2" t="s">
        <v>12</v>
      </c>
      <c r="E240" s="2" t="s">
        <v>190</v>
      </c>
      <c r="F240" s="2" t="s">
        <v>133</v>
      </c>
      <c r="G240" s="2" t="s">
        <v>183</v>
      </c>
    </row>
    <row r="241" spans="1:7" x14ac:dyDescent="0.3">
      <c r="A241" s="4" t="s">
        <v>163</v>
      </c>
      <c r="B241" s="2" t="s">
        <v>164</v>
      </c>
      <c r="C241" s="2" t="s">
        <v>165</v>
      </c>
      <c r="D241" s="2" t="s">
        <v>2</v>
      </c>
      <c r="E241" s="2" t="s">
        <v>190</v>
      </c>
      <c r="F241" s="2" t="s">
        <v>133</v>
      </c>
      <c r="G241" s="2" t="s">
        <v>181</v>
      </c>
    </row>
    <row r="242" spans="1:7" x14ac:dyDescent="0.3">
      <c r="A242" s="4" t="s">
        <v>163</v>
      </c>
      <c r="B242" s="2" t="s">
        <v>164</v>
      </c>
      <c r="C242" s="2" t="s">
        <v>165</v>
      </c>
      <c r="D242" s="2" t="s">
        <v>12</v>
      </c>
      <c r="E242" s="2" t="s">
        <v>190</v>
      </c>
      <c r="F242" s="2" t="s">
        <v>133</v>
      </c>
      <c r="G242" s="2" t="s">
        <v>183</v>
      </c>
    </row>
    <row r="243" spans="1:7" x14ac:dyDescent="0.3">
      <c r="A243" s="4" t="s">
        <v>166</v>
      </c>
      <c r="B243" s="2" t="s">
        <v>167</v>
      </c>
      <c r="C243" s="2" t="s">
        <v>168</v>
      </c>
      <c r="D243" s="2" t="s">
        <v>2</v>
      </c>
      <c r="E243" s="2" t="s">
        <v>190</v>
      </c>
      <c r="F243" s="2" t="s">
        <v>133</v>
      </c>
      <c r="G243" s="2" t="s">
        <v>181</v>
      </c>
    </row>
    <row r="244" spans="1:7" x14ac:dyDescent="0.3">
      <c r="A244" s="4" t="s">
        <v>166</v>
      </c>
      <c r="B244" s="2" t="s">
        <v>167</v>
      </c>
      <c r="C244" s="2" t="s">
        <v>168</v>
      </c>
      <c r="D244" s="2" t="s">
        <v>12</v>
      </c>
      <c r="E244" s="2" t="s">
        <v>190</v>
      </c>
      <c r="F244" s="2" t="s">
        <v>133</v>
      </c>
      <c r="G244" s="2" t="s">
        <v>183</v>
      </c>
    </row>
    <row r="245" spans="1:7" x14ac:dyDescent="0.3">
      <c r="A245" s="4" t="s">
        <v>109</v>
      </c>
      <c r="B245" s="2" t="s">
        <v>110</v>
      </c>
      <c r="C245" s="2" t="s">
        <v>111</v>
      </c>
      <c r="D245" s="2" t="s">
        <v>12</v>
      </c>
      <c r="E245" s="2" t="s">
        <v>190</v>
      </c>
      <c r="F245" s="2" t="s">
        <v>133</v>
      </c>
      <c r="G245" s="2" t="s">
        <v>183</v>
      </c>
    </row>
    <row r="246" spans="1:7" x14ac:dyDescent="0.3">
      <c r="A246" s="4" t="s">
        <v>169</v>
      </c>
      <c r="B246" s="2" t="s">
        <v>170</v>
      </c>
      <c r="C246" s="2" t="s">
        <v>171</v>
      </c>
      <c r="D246" s="2" t="s">
        <v>2</v>
      </c>
      <c r="E246" s="2" t="s">
        <v>190</v>
      </c>
      <c r="F246" s="2" t="s">
        <v>133</v>
      </c>
      <c r="G246" s="2" t="s">
        <v>181</v>
      </c>
    </row>
    <row r="247" spans="1:7" x14ac:dyDescent="0.3">
      <c r="A247" s="4" t="s">
        <v>169</v>
      </c>
      <c r="B247" s="2" t="s">
        <v>170</v>
      </c>
      <c r="C247" s="2" t="s">
        <v>171</v>
      </c>
      <c r="D247" s="2" t="s">
        <v>12</v>
      </c>
      <c r="E247" s="2" t="s">
        <v>190</v>
      </c>
      <c r="F247" s="2" t="s">
        <v>133</v>
      </c>
      <c r="G247" s="2" t="s">
        <v>183</v>
      </c>
    </row>
    <row r="1048574" spans="5:5" x14ac:dyDescent="0.3">
      <c r="E1048574" s="2" t="s">
        <v>186</v>
      </c>
    </row>
  </sheetData>
  <autoFilter ref="A1:AW247" xr:uid="{7C30B7E0-220D-0241-8577-B469D8A69073}">
    <sortState xmlns:xlrd2="http://schemas.microsoft.com/office/spreadsheetml/2017/richdata2" ref="A2:AW247">
      <sortCondition ref="H1:H247"/>
    </sortState>
  </autoFilter>
  <phoneticPr fontId="5" type="noConversion"/>
  <conditionalFormatting sqref="K2:K10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2:L10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Aminoroaya Yamini, Alireza</dc:creator>
  <cp:lastModifiedBy>Aminoroaya Yamini, Alireza</cp:lastModifiedBy>
  <dcterms:created xsi:type="dcterms:W3CDTF">2026-04-10T19:37:36Z</dcterms:created>
  <dcterms:modified xsi:type="dcterms:W3CDTF">2026-04-21T01:26:05Z</dcterms:modified>
</cp:coreProperties>
</file>